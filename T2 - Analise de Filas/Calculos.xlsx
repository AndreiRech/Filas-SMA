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\Programs\Faculdade\SMA\Trabalho\T2 - Analise de Filas\"/>
    </mc:Choice>
  </mc:AlternateContent>
  <xr:revisionPtr revIDLastSave="0" documentId="13_ncr:1_{F560180D-BB5C-4CBA-B5E5-C4B5323D9862}" xr6:coauthVersionLast="47" xr6:coauthVersionMax="47" xr10:uidLastSave="{00000000-0000-0000-0000-000000000000}"/>
  <bookViews>
    <workbookView xWindow="-120" yWindow="-120" windowWidth="29040" windowHeight="15990" xr2:uid="{E58DCA61-73EF-4FEE-9027-4600D369AB43}"/>
  </bookViews>
  <sheets>
    <sheet name="Resumo" sheetId="7" r:id="rId1"/>
    <sheet name="Aplicação (Caso 1)" sheetId="1" r:id="rId2"/>
    <sheet name="Cache (Caso 1)" sheetId="2" r:id="rId3"/>
    <sheet name="API (Caso 1)" sheetId="3" r:id="rId4"/>
    <sheet name="Aplicação (Caso 2)" sheetId="4" r:id="rId5"/>
    <sheet name="Cache (Caso 2)" sheetId="5" r:id="rId6"/>
    <sheet name="API (Caso 2)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7" l="1"/>
  <c r="G17" i="7"/>
  <c r="F17" i="7"/>
  <c r="H11" i="7"/>
  <c r="G11" i="7"/>
  <c r="F11" i="7"/>
  <c r="H5" i="7"/>
  <c r="G5" i="7"/>
  <c r="F5" i="7"/>
  <c r="H16" i="7"/>
  <c r="G16" i="7"/>
  <c r="F16" i="7"/>
  <c r="E16" i="7"/>
  <c r="D16" i="7"/>
  <c r="H15" i="7"/>
  <c r="G15" i="7"/>
  <c r="F15" i="7"/>
  <c r="E15" i="7"/>
  <c r="D15" i="7"/>
  <c r="H10" i="7"/>
  <c r="G10" i="7"/>
  <c r="F10" i="7"/>
  <c r="E10" i="7"/>
  <c r="D10" i="7"/>
  <c r="H9" i="7"/>
  <c r="G9" i="7"/>
  <c r="F9" i="7"/>
  <c r="E9" i="7"/>
  <c r="D9" i="7"/>
  <c r="H4" i="7"/>
  <c r="G4" i="7"/>
  <c r="F4" i="7"/>
  <c r="E4" i="7"/>
  <c r="D4" i="7"/>
  <c r="H3" i="7"/>
  <c r="G3" i="7"/>
  <c r="F3" i="7"/>
  <c r="E3" i="7"/>
  <c r="D3" i="7"/>
  <c r="C4" i="5"/>
  <c r="J7" i="5"/>
  <c r="J2" i="5"/>
  <c r="C34" i="6"/>
  <c r="F22" i="6" s="1"/>
  <c r="I22" i="6" s="1"/>
  <c r="C9" i="6"/>
  <c r="C4" i="6" s="1"/>
  <c r="F5" i="6"/>
  <c r="G5" i="6" s="1"/>
  <c r="F4" i="6"/>
  <c r="H4" i="6" s="1"/>
  <c r="F3" i="6"/>
  <c r="I3" i="6" s="1"/>
  <c r="F2" i="6"/>
  <c r="C20" i="5"/>
  <c r="F8" i="5"/>
  <c r="I8" i="5" s="1"/>
  <c r="F7" i="5"/>
  <c r="H7" i="5" s="1"/>
  <c r="C9" i="5"/>
  <c r="F3" i="5"/>
  <c r="H3" i="5" s="1"/>
  <c r="F2" i="5"/>
  <c r="H2" i="5" s="1"/>
  <c r="I13" i="4"/>
  <c r="H13" i="4"/>
  <c r="G13" i="4"/>
  <c r="F13" i="4"/>
  <c r="I8" i="4"/>
  <c r="I9" i="4"/>
  <c r="I10" i="4"/>
  <c r="I11" i="4"/>
  <c r="I12" i="4"/>
  <c r="H8" i="4"/>
  <c r="H9" i="4"/>
  <c r="H10" i="4"/>
  <c r="H11" i="4"/>
  <c r="H12" i="4"/>
  <c r="G8" i="4"/>
  <c r="G9" i="4"/>
  <c r="G10" i="4"/>
  <c r="G11" i="4"/>
  <c r="G12" i="4"/>
  <c r="F8" i="4"/>
  <c r="F9" i="4"/>
  <c r="F10" i="4"/>
  <c r="F11" i="4"/>
  <c r="F12" i="4"/>
  <c r="C24" i="4"/>
  <c r="F7" i="4" s="1"/>
  <c r="I7" i="4" s="1"/>
  <c r="C9" i="4"/>
  <c r="C4" i="4" s="1"/>
  <c r="F2" i="4"/>
  <c r="I8" i="3"/>
  <c r="I9" i="3"/>
  <c r="I10" i="3"/>
  <c r="I11" i="3"/>
  <c r="I12" i="3"/>
  <c r="I13" i="3"/>
  <c r="I14" i="3"/>
  <c r="I15" i="3"/>
  <c r="I16" i="3"/>
  <c r="I17" i="3"/>
  <c r="I18" i="3"/>
  <c r="I19" i="3"/>
  <c r="I23" i="3" s="1"/>
  <c r="I20" i="3"/>
  <c r="I21" i="3"/>
  <c r="I22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G8" i="3"/>
  <c r="G9" i="3"/>
  <c r="G10" i="3"/>
  <c r="G23" i="3" s="1"/>
  <c r="G11" i="3"/>
  <c r="G12" i="3"/>
  <c r="G13" i="3"/>
  <c r="G14" i="3"/>
  <c r="G15" i="3"/>
  <c r="G16" i="3"/>
  <c r="G17" i="3"/>
  <c r="G18" i="3"/>
  <c r="G19" i="3"/>
  <c r="G20" i="3"/>
  <c r="G21" i="3"/>
  <c r="G22" i="3"/>
  <c r="H23" i="3"/>
  <c r="F23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C34" i="3"/>
  <c r="C9" i="3"/>
  <c r="C4" i="3"/>
  <c r="F3" i="1"/>
  <c r="F4" i="1"/>
  <c r="F5" i="1"/>
  <c r="I5" i="1" s="1"/>
  <c r="F6" i="1"/>
  <c r="I6" i="1" s="1"/>
  <c r="F7" i="1"/>
  <c r="G7" i="1" s="1"/>
  <c r="F2" i="1"/>
  <c r="C19" i="1"/>
  <c r="F3" i="2"/>
  <c r="F4" i="2"/>
  <c r="F5" i="2"/>
  <c r="G5" i="2" s="1"/>
  <c r="F6" i="2"/>
  <c r="F7" i="2"/>
  <c r="F2" i="2"/>
  <c r="I2" i="2" s="1"/>
  <c r="G4" i="2"/>
  <c r="G2" i="2"/>
  <c r="C19" i="2"/>
  <c r="C9" i="2"/>
  <c r="F8" i="2"/>
  <c r="I7" i="2"/>
  <c r="G7" i="2"/>
  <c r="I6" i="2"/>
  <c r="G6" i="2"/>
  <c r="I5" i="2"/>
  <c r="I4" i="2"/>
  <c r="C4" i="2"/>
  <c r="H3" i="2" s="1"/>
  <c r="I3" i="2"/>
  <c r="G3" i="2"/>
  <c r="H2" i="2"/>
  <c r="I3" i="1"/>
  <c r="I4" i="1"/>
  <c r="I2" i="1"/>
  <c r="H3" i="1"/>
  <c r="H4" i="1"/>
  <c r="H5" i="1"/>
  <c r="H6" i="1"/>
  <c r="H7" i="1"/>
  <c r="H8" i="1" s="1"/>
  <c r="H2" i="1"/>
  <c r="C9" i="1"/>
  <c r="C4" i="1" s="1"/>
  <c r="G3" i="1"/>
  <c r="G8" i="1" s="1"/>
  <c r="J2" i="1" s="1"/>
  <c r="J6" i="1" s="1"/>
  <c r="G4" i="1"/>
  <c r="G5" i="1"/>
  <c r="G6" i="1"/>
  <c r="G2" i="1"/>
  <c r="F6" i="6" l="1"/>
  <c r="G6" i="6" s="1"/>
  <c r="F8" i="6"/>
  <c r="H8" i="6" s="1"/>
  <c r="F7" i="6"/>
  <c r="I7" i="6" s="1"/>
  <c r="F9" i="6"/>
  <c r="I9" i="6" s="1"/>
  <c r="F10" i="6"/>
  <c r="I10" i="6" s="1"/>
  <c r="F11" i="6"/>
  <c r="I11" i="6" s="1"/>
  <c r="F12" i="6"/>
  <c r="G12" i="6" s="1"/>
  <c r="F13" i="6"/>
  <c r="I13" i="6" s="1"/>
  <c r="F15" i="6"/>
  <c r="I15" i="6" s="1"/>
  <c r="F14" i="6"/>
  <c r="I14" i="6" s="1"/>
  <c r="F16" i="6"/>
  <c r="G16" i="6" s="1"/>
  <c r="F17" i="6"/>
  <c r="H17" i="6" s="1"/>
  <c r="F20" i="6"/>
  <c r="G20" i="6" s="1"/>
  <c r="F18" i="6"/>
  <c r="I18" i="6" s="1"/>
  <c r="F19" i="6"/>
  <c r="I19" i="6" s="1"/>
  <c r="I12" i="6"/>
  <c r="F21" i="6"/>
  <c r="G21" i="6" s="1"/>
  <c r="G3" i="6"/>
  <c r="G4" i="6"/>
  <c r="G8" i="6"/>
  <c r="I4" i="6"/>
  <c r="I8" i="6"/>
  <c r="H22" i="6"/>
  <c r="H12" i="6"/>
  <c r="H5" i="6"/>
  <c r="H6" i="6"/>
  <c r="G14" i="6"/>
  <c r="G2" i="6"/>
  <c r="I6" i="6"/>
  <c r="G22" i="6"/>
  <c r="H3" i="6"/>
  <c r="I5" i="6"/>
  <c r="H2" i="6"/>
  <c r="I2" i="6"/>
  <c r="H7" i="6"/>
  <c r="H9" i="6"/>
  <c r="H11" i="6"/>
  <c r="G9" i="6"/>
  <c r="G8" i="5"/>
  <c r="H8" i="5"/>
  <c r="F4" i="5"/>
  <c r="G4" i="5" s="1"/>
  <c r="F5" i="5"/>
  <c r="H5" i="5" s="1"/>
  <c r="F6" i="5"/>
  <c r="H6" i="5" s="1"/>
  <c r="G2" i="5"/>
  <c r="I2" i="5"/>
  <c r="I5" i="5"/>
  <c r="I3" i="5"/>
  <c r="G7" i="5"/>
  <c r="G3" i="5"/>
  <c r="I7" i="5"/>
  <c r="G6" i="5"/>
  <c r="H4" i="5"/>
  <c r="H9" i="5" s="1"/>
  <c r="H2" i="4"/>
  <c r="F4" i="4"/>
  <c r="G4" i="4" s="1"/>
  <c r="F3" i="4"/>
  <c r="I3" i="4" s="1"/>
  <c r="F5" i="4"/>
  <c r="H5" i="4" s="1"/>
  <c r="F6" i="4"/>
  <c r="I6" i="4" s="1"/>
  <c r="I5" i="4"/>
  <c r="I2" i="4"/>
  <c r="G2" i="4"/>
  <c r="G5" i="4"/>
  <c r="G3" i="4"/>
  <c r="H4" i="4"/>
  <c r="I4" i="4"/>
  <c r="H3" i="4"/>
  <c r="G7" i="4"/>
  <c r="H7" i="4"/>
  <c r="I7" i="1"/>
  <c r="I8" i="1" s="1"/>
  <c r="F8" i="1"/>
  <c r="G8" i="2"/>
  <c r="I8" i="2"/>
  <c r="H5" i="2"/>
  <c r="H6" i="2"/>
  <c r="H7" i="2"/>
  <c r="H4" i="2"/>
  <c r="H15" i="6" l="1"/>
  <c r="H13" i="6"/>
  <c r="I17" i="6"/>
  <c r="G18" i="6"/>
  <c r="G7" i="6"/>
  <c r="G13" i="6"/>
  <c r="G11" i="6"/>
  <c r="I20" i="6"/>
  <c r="H19" i="6"/>
  <c r="H10" i="6"/>
  <c r="G10" i="6"/>
  <c r="G19" i="6"/>
  <c r="H16" i="6"/>
  <c r="F23" i="6"/>
  <c r="G17" i="6"/>
  <c r="H14" i="6"/>
  <c r="G15" i="6"/>
  <c r="H20" i="6"/>
  <c r="I16" i="6"/>
  <c r="H18" i="6"/>
  <c r="H21" i="6"/>
  <c r="I21" i="6"/>
  <c r="G5" i="5"/>
  <c r="F9" i="5"/>
  <c r="I4" i="5"/>
  <c r="I9" i="5" s="1"/>
  <c r="G9" i="5"/>
  <c r="I6" i="5"/>
  <c r="G6" i="4"/>
  <c r="H6" i="4"/>
  <c r="H8" i="2"/>
  <c r="J2" i="2" s="1"/>
  <c r="J6" i="2" s="1"/>
  <c r="F2" i="3"/>
  <c r="H2" i="3"/>
  <c r="G6" i="3"/>
  <c r="F6" i="3"/>
  <c r="I6" i="3" s="1"/>
  <c r="H6" i="3"/>
  <c r="G4" i="3"/>
  <c r="F4" i="3"/>
  <c r="H4" i="3" s="1"/>
  <c r="I4" i="3"/>
  <c r="F3" i="3"/>
  <c r="G3" i="3" s="1"/>
  <c r="H3" i="3"/>
  <c r="F5" i="3"/>
  <c r="I5" i="3" s="1"/>
  <c r="G7" i="3"/>
  <c r="F7" i="3"/>
  <c r="I7" i="3" s="1"/>
  <c r="G23" i="6" l="1"/>
  <c r="H23" i="6"/>
  <c r="I23" i="6"/>
  <c r="J2" i="6"/>
  <c r="J21" i="6" s="1"/>
  <c r="J2" i="4"/>
  <c r="J11" i="4" s="1"/>
  <c r="G2" i="3"/>
  <c r="H5" i="3"/>
  <c r="G5" i="3"/>
  <c r="I2" i="3"/>
  <c r="I3" i="3"/>
  <c r="H7" i="3"/>
  <c r="J2" i="3" l="1"/>
  <c r="J21" i="3" s="1"/>
</calcChain>
</file>

<file path=xl/sharedStrings.xml><?xml version="1.0" encoding="utf-8"?>
<sst xmlns="http://schemas.openxmlformats.org/spreadsheetml/2006/main" count="171" uniqueCount="37">
  <si>
    <t>i</t>
  </si>
  <si>
    <t>U</t>
  </si>
  <si>
    <t>G/G/2/5</t>
  </si>
  <si>
    <t>C</t>
  </si>
  <si>
    <t>K</t>
  </si>
  <si>
    <t>Total</t>
  </si>
  <si>
    <t>MU</t>
  </si>
  <si>
    <t>Tempo mín:</t>
  </si>
  <si>
    <t>Tempo máx:</t>
  </si>
  <si>
    <t>Tempo médio:</t>
  </si>
  <si>
    <t>D (req./min)</t>
  </si>
  <si>
    <t>N (requisições)</t>
  </si>
  <si>
    <t>Probabilidade</t>
  </si>
  <si>
    <t>W (minuto)</t>
  </si>
  <si>
    <t>requisições por minuto</t>
  </si>
  <si>
    <t xml:space="preserve">equivale a </t>
  </si>
  <si>
    <t>segundos</t>
  </si>
  <si>
    <t>Aplicação</t>
  </si>
  <si>
    <t>tempo em segundos</t>
  </si>
  <si>
    <t>G/G/1/5</t>
  </si>
  <si>
    <t>Cache</t>
  </si>
  <si>
    <t>Tempo (segundos)</t>
  </si>
  <si>
    <t>API</t>
  </si>
  <si>
    <t>G/G/3/20</t>
  </si>
  <si>
    <t>G/G/3/10</t>
  </si>
  <si>
    <t>G/G/1/6</t>
  </si>
  <si>
    <t>G/G/6/20</t>
  </si>
  <si>
    <t>Fila</t>
  </si>
  <si>
    <t>Servidores - C</t>
  </si>
  <si>
    <t>Capacidade - K</t>
  </si>
  <si>
    <t>Perdas</t>
  </si>
  <si>
    <t>Utilização - U</t>
  </si>
  <si>
    <t>Cenário</t>
  </si>
  <si>
    <t>Caso 1</t>
  </si>
  <si>
    <t>Caso 2</t>
  </si>
  <si>
    <t>Perdas (req)</t>
  </si>
  <si>
    <t>Tempo de Resposta - W (seg)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</si>
</sst>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10" fontId="0" fillId="0" borderId="14" xfId="1" applyNumberFormat="1" applyFont="1" applyBorder="1" applyAlignment="1">
      <alignment horizontal="center" vertical="center"/>
    </xf>
    <xf numFmtId="10" fontId="0" fillId="0" borderId="19" xfId="1" applyNumberFormat="1" applyFont="1" applyBorder="1" applyAlignment="1">
      <alignment horizontal="center" vertical="center"/>
    </xf>
    <xf numFmtId="10" fontId="0" fillId="0" borderId="32" xfId="1" applyNumberFormat="1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0" fontId="0" fillId="0" borderId="18" xfId="1" applyNumberFormat="1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65" fontId="2" fillId="0" borderId="27" xfId="0" applyNumberFormat="1" applyFont="1" applyBorder="1" applyAlignment="1">
      <alignment horizontal="center" vertical="center"/>
    </xf>
    <xf numFmtId="165" fontId="2" fillId="0" borderId="28" xfId="0" applyNumberFormat="1" applyFont="1" applyBorder="1" applyAlignment="1">
      <alignment horizontal="center" vertical="center"/>
    </xf>
    <xf numFmtId="165" fontId="2" fillId="0" borderId="29" xfId="0" applyNumberFormat="1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10" fontId="0" fillId="0" borderId="26" xfId="1" applyNumberFormat="1" applyFon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0" fontId="0" fillId="0" borderId="30" xfId="1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65" fontId="0" fillId="0" borderId="34" xfId="0" applyNumberFormat="1" applyBorder="1" applyAlignment="1">
      <alignment horizontal="center"/>
    </xf>
    <xf numFmtId="165" fontId="0" fillId="0" borderId="35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" fontId="0" fillId="0" borderId="20" xfId="0" applyNumberFormat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" fontId="2" fillId="3" borderId="9" xfId="0" applyNumberFormat="1" applyFont="1" applyFill="1" applyBorder="1" applyAlignment="1">
      <alignment horizontal="center"/>
    </xf>
    <xf numFmtId="10" fontId="2" fillId="3" borderId="21" xfId="0" applyNumberFormat="1" applyFont="1" applyFill="1" applyBorder="1" applyAlignment="1">
      <alignment horizontal="center"/>
    </xf>
    <xf numFmtId="2" fontId="2" fillId="3" borderId="11" xfId="0" applyNumberFormat="1" applyFont="1" applyFill="1" applyBorder="1" applyAlignment="1">
      <alignment horizontal="center"/>
    </xf>
    <xf numFmtId="1" fontId="2" fillId="2" borderId="9" xfId="0" applyNumberFormat="1" applyFont="1" applyFill="1" applyBorder="1" applyAlignment="1">
      <alignment horizontal="center"/>
    </xf>
    <xf numFmtId="10" fontId="2" fillId="2" borderId="21" xfId="0" applyNumberFormat="1" applyFont="1" applyFill="1" applyBorder="1" applyAlignment="1">
      <alignment horizontal="center"/>
    </xf>
    <xf numFmtId="2" fontId="2" fillId="2" borderId="11" xfId="0" applyNumberFormat="1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95D9-DBB2-465E-B7A8-AC0B10A96951}">
  <dimension ref="B1:H17"/>
  <sheetViews>
    <sheetView tabSelected="1" workbookViewId="0">
      <selection activeCell="I17" sqref="I17"/>
    </sheetView>
  </sheetViews>
  <sheetFormatPr defaultRowHeight="15" x14ac:dyDescent="0.25"/>
  <cols>
    <col min="2" max="5" width="15.42578125" customWidth="1"/>
    <col min="6" max="6" width="13" customWidth="1"/>
    <col min="7" max="7" width="15.42578125" customWidth="1"/>
    <col min="8" max="8" width="27.7109375" bestFit="1" customWidth="1"/>
    <col min="9" max="9" width="15.42578125" customWidth="1"/>
  </cols>
  <sheetData>
    <row r="1" spans="2:8" ht="15.75" thickBot="1" x14ac:dyDescent="0.3"/>
    <row r="2" spans="2:8" ht="15.75" thickBot="1" x14ac:dyDescent="0.3">
      <c r="B2" s="66" t="s">
        <v>27</v>
      </c>
      <c r="C2" s="67" t="s">
        <v>32</v>
      </c>
      <c r="D2" s="67" t="s">
        <v>28</v>
      </c>
      <c r="E2" s="67" t="s">
        <v>29</v>
      </c>
      <c r="F2" s="67" t="s">
        <v>35</v>
      </c>
      <c r="G2" s="67" t="s">
        <v>31</v>
      </c>
      <c r="H2" s="68" t="s">
        <v>36</v>
      </c>
    </row>
    <row r="3" spans="2:8" x14ac:dyDescent="0.25">
      <c r="B3" s="58" t="s">
        <v>17</v>
      </c>
      <c r="C3" s="59" t="s">
        <v>33</v>
      </c>
      <c r="D3" s="59">
        <f>'Aplicação (Caso 1)'!C2</f>
        <v>2</v>
      </c>
      <c r="E3" s="59">
        <f>'Aplicação (Caso 1)'!C3</f>
        <v>5</v>
      </c>
      <c r="F3" s="71">
        <f>'Aplicação (Caso 1)'!C21</f>
        <v>887</v>
      </c>
      <c r="G3" s="72">
        <f>'Aplicação (Caso 1)'!I8</f>
        <v>0.93147725874579546</v>
      </c>
      <c r="H3" s="73">
        <f>'Aplicação (Caso 1)'!G8/'Aplicação (Caso 1)'!H8 * 60</f>
        <v>9.0247844678085549</v>
      </c>
    </row>
    <row r="4" spans="2:8" ht="15.75" thickBot="1" x14ac:dyDescent="0.3">
      <c r="B4" s="39" t="s">
        <v>17</v>
      </c>
      <c r="C4" s="60" t="s">
        <v>34</v>
      </c>
      <c r="D4" s="60">
        <f>'Aplicação (Caso 2)'!C2</f>
        <v>3</v>
      </c>
      <c r="E4" s="60">
        <f>'Aplicação (Caso 2)'!C3</f>
        <v>10</v>
      </c>
      <c r="F4" s="61">
        <f>'Aplicação (Caso 2)'!C26</f>
        <v>13</v>
      </c>
      <c r="G4" s="62">
        <f>'Aplicação (Caso 2)'!I13</f>
        <v>0.81079408265979591</v>
      </c>
      <c r="H4" s="70">
        <f>'Aplicação (Caso 2)'!G13/'Aplicação (Caso 2)'!H13*60</f>
        <v>7.2186305103592669</v>
      </c>
    </row>
    <row r="5" spans="2:8" ht="15.75" thickBot="1" x14ac:dyDescent="0.3">
      <c r="F5" s="77">
        <f>F4-F3</f>
        <v>-874</v>
      </c>
      <c r="G5" s="78">
        <f>G4-G3</f>
        <v>-0.12068317608599954</v>
      </c>
      <c r="H5" s="79">
        <f>H4-H3</f>
        <v>-1.806153957449288</v>
      </c>
    </row>
    <row r="7" spans="2:8" ht="15.75" thickBot="1" x14ac:dyDescent="0.3"/>
    <row r="8" spans="2:8" ht="15.75" thickBot="1" x14ac:dyDescent="0.3">
      <c r="B8" s="66" t="s">
        <v>27</v>
      </c>
      <c r="C8" s="67" t="s">
        <v>32</v>
      </c>
      <c r="D8" s="67" t="s">
        <v>28</v>
      </c>
      <c r="E8" s="67" t="s">
        <v>29</v>
      </c>
      <c r="F8" s="67" t="s">
        <v>35</v>
      </c>
      <c r="G8" s="67" t="s">
        <v>31</v>
      </c>
      <c r="H8" s="68" t="s">
        <v>36</v>
      </c>
    </row>
    <row r="9" spans="2:8" x14ac:dyDescent="0.25">
      <c r="B9" s="58" t="s">
        <v>20</v>
      </c>
      <c r="C9" s="59" t="s">
        <v>33</v>
      </c>
      <c r="D9" s="59">
        <f>'Cache (Caso 1)'!C2</f>
        <v>1</v>
      </c>
      <c r="E9" s="59">
        <f>'Cache (Caso 1)'!C3</f>
        <v>5</v>
      </c>
      <c r="F9" s="71">
        <f>'Cache (Caso 1)'!C21</f>
        <v>0</v>
      </c>
      <c r="G9" s="72">
        <f>'Cache (Caso 1)'!I8</f>
        <v>0.50133331907897927</v>
      </c>
      <c r="H9" s="73">
        <f>'Cache (Caso 1)'!G8/'Cache (Caso 1)'!H8*60</f>
        <v>1.6481335749981258</v>
      </c>
    </row>
    <row r="10" spans="2:8" ht="15.75" thickBot="1" x14ac:dyDescent="0.3">
      <c r="B10" s="39" t="s">
        <v>20</v>
      </c>
      <c r="C10" s="60" t="s">
        <v>34</v>
      </c>
      <c r="D10" s="60">
        <f>'Cache (Caso 2)'!C2</f>
        <v>1</v>
      </c>
      <c r="E10" s="60">
        <f>'Cache (Caso 2)'!C3</f>
        <v>6</v>
      </c>
      <c r="F10" s="61">
        <f>'Cache (Caso 2)'!C22</f>
        <v>124</v>
      </c>
      <c r="G10" s="62">
        <f>'Cache (Caso 2)'!I9</f>
        <v>0.82896902698184927</v>
      </c>
      <c r="H10" s="70">
        <f>'Cache (Caso 2)'!G9/'Cache (Caso 2)'!H9*60</f>
        <v>2.8160551864571506</v>
      </c>
    </row>
    <row r="11" spans="2:8" ht="15.75" thickBot="1" x14ac:dyDescent="0.3">
      <c r="F11" s="74">
        <f>F10-F9</f>
        <v>124</v>
      </c>
      <c r="G11" s="75">
        <f>G10-G9</f>
        <v>0.32763570790287</v>
      </c>
      <c r="H11" s="76">
        <f>H10-H9</f>
        <v>1.1679216114590247</v>
      </c>
    </row>
    <row r="13" spans="2:8" ht="15.75" thickBot="1" x14ac:dyDescent="0.3"/>
    <row r="14" spans="2:8" ht="15.75" thickBot="1" x14ac:dyDescent="0.3">
      <c r="B14" s="66" t="s">
        <v>27</v>
      </c>
      <c r="C14" s="67" t="s">
        <v>32</v>
      </c>
      <c r="D14" s="67" t="s">
        <v>28</v>
      </c>
      <c r="E14" s="67" t="s">
        <v>29</v>
      </c>
      <c r="F14" s="67" t="s">
        <v>35</v>
      </c>
      <c r="G14" s="67" t="s">
        <v>31</v>
      </c>
      <c r="H14" s="68" t="s">
        <v>36</v>
      </c>
    </row>
    <row r="15" spans="2:8" x14ac:dyDescent="0.25">
      <c r="B15" s="40" t="s">
        <v>22</v>
      </c>
      <c r="C15" s="63" t="s">
        <v>33</v>
      </c>
      <c r="D15" s="63">
        <f>'API (Caso 1)'!C2</f>
        <v>3</v>
      </c>
      <c r="E15" s="63">
        <f>'API (Caso 1)'!C3</f>
        <v>20</v>
      </c>
      <c r="F15" s="64">
        <f>'API (Caso 1)'!C36</f>
        <v>3789</v>
      </c>
      <c r="G15" s="65">
        <f>'API (Caso 1)'!I23</f>
        <v>0.99948121089004127</v>
      </c>
      <c r="H15" s="69">
        <f>'API (Caso 1)'!G23/'API (Caso 1)'!H23*60</f>
        <v>72.69736711057628</v>
      </c>
    </row>
    <row r="16" spans="2:8" ht="15.75" thickBot="1" x14ac:dyDescent="0.3">
      <c r="B16" s="39" t="s">
        <v>22</v>
      </c>
      <c r="C16" s="60" t="s">
        <v>34</v>
      </c>
      <c r="D16" s="60">
        <f>'API (Caso 2)'!C2</f>
        <v>6</v>
      </c>
      <c r="E16" s="60">
        <f>'API (Caso 2)'!C3</f>
        <v>20</v>
      </c>
      <c r="F16" s="61">
        <f>'API (Caso 2)'!C36</f>
        <v>741</v>
      </c>
      <c r="G16" s="62">
        <f>'API (Caso 2)'!I23</f>
        <v>0.99388602792493697</v>
      </c>
      <c r="H16" s="70">
        <f>'API (Caso 2)'!G23/'API (Caso 2)'!H23*60</f>
        <v>29.654974930575687</v>
      </c>
    </row>
    <row r="17" spans="6:8" ht="15.75" thickBot="1" x14ac:dyDescent="0.3">
      <c r="F17" s="77">
        <f>F16-F15</f>
        <v>-3048</v>
      </c>
      <c r="G17" s="78">
        <f>G16-G15</f>
        <v>-5.5951829651043061E-3</v>
      </c>
      <c r="H17" s="79">
        <f>H16-H15</f>
        <v>-43.04239218000059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52A9-8E6F-4A9E-8A08-3BA8384E376F}">
  <dimension ref="B1:J21"/>
  <sheetViews>
    <sheetView workbookViewId="0">
      <selection activeCell="J6" sqref="J6:J7"/>
    </sheetView>
  </sheetViews>
  <sheetFormatPr defaultRowHeight="15" x14ac:dyDescent="0.25"/>
  <cols>
    <col min="2" max="2" width="13.7109375" bestFit="1" customWidth="1"/>
    <col min="3" max="3" width="21.85546875" bestFit="1" customWidth="1"/>
    <col min="5" max="10" width="15.28515625" style="1" customWidth="1"/>
  </cols>
  <sheetData>
    <row r="1" spans="2:10" ht="15.75" thickBot="1" x14ac:dyDescent="0.3">
      <c r="B1" s="13" t="s">
        <v>17</v>
      </c>
      <c r="C1" s="7" t="s">
        <v>2</v>
      </c>
      <c r="D1" s="1"/>
      <c r="E1" s="7" t="s">
        <v>0</v>
      </c>
      <c r="F1" s="8" t="s">
        <v>12</v>
      </c>
      <c r="G1" s="7" t="s">
        <v>11</v>
      </c>
      <c r="H1" s="7" t="s">
        <v>10</v>
      </c>
      <c r="I1" s="7" t="s">
        <v>1</v>
      </c>
      <c r="J1" s="9" t="s">
        <v>13</v>
      </c>
    </row>
    <row r="2" spans="2:10" x14ac:dyDescent="0.25">
      <c r="B2" s="19" t="s">
        <v>3</v>
      </c>
      <c r="C2" s="5">
        <v>2</v>
      </c>
      <c r="D2" s="1"/>
      <c r="E2" s="34">
        <v>0</v>
      </c>
      <c r="F2" s="4">
        <f>C13/$C$19</f>
        <v>9.9047790289215516E-3</v>
      </c>
      <c r="G2" s="26">
        <f>F2*E2</f>
        <v>0</v>
      </c>
      <c r="H2" s="26">
        <f>F2 * MIN(E2,$C$2) * $C$4</f>
        <v>0</v>
      </c>
      <c r="I2" s="25">
        <f>F2 * (MIN(E2,$C$2) / $C$2)</f>
        <v>0</v>
      </c>
      <c r="J2" s="31">
        <f>G8/H8</f>
        <v>0.1504130744634759</v>
      </c>
    </row>
    <row r="3" spans="2:10" x14ac:dyDescent="0.25">
      <c r="B3" s="19" t="s">
        <v>4</v>
      </c>
      <c r="C3" s="6">
        <v>5</v>
      </c>
      <c r="D3" s="1"/>
      <c r="E3" s="35">
        <v>1</v>
      </c>
      <c r="F3" s="4">
        <f t="shared" ref="F3:F7" si="0">C14/$C$19</f>
        <v>0.11723592445056558</v>
      </c>
      <c r="G3" s="27">
        <f t="shared" ref="G3:G7" si="1">F3*E3</f>
        <v>0.11723592445056558</v>
      </c>
      <c r="H3" s="26">
        <f t="shared" ref="H3:H7" si="2">F3 * MIN(E3,$C$2) * $C$4</f>
        <v>1.223331385571119</v>
      </c>
      <c r="I3" s="25">
        <f t="shared" ref="I3:I7" si="3">F3 * (MIN(E3,$C$2) / $C$2)</f>
        <v>5.8617962225282788E-2</v>
      </c>
      <c r="J3" s="32"/>
    </row>
    <row r="4" spans="2:10" ht="15.75" thickBot="1" x14ac:dyDescent="0.3">
      <c r="B4" s="20" t="s">
        <v>6</v>
      </c>
      <c r="C4" s="14">
        <f>60/C9</f>
        <v>10.434782608695652</v>
      </c>
      <c r="D4" s="1"/>
      <c r="E4" s="35">
        <v>2</v>
      </c>
      <c r="F4" s="4">
        <f t="shared" si="0"/>
        <v>0.24771188272397957</v>
      </c>
      <c r="G4" s="27">
        <f t="shared" si="1"/>
        <v>0.49542376544795913</v>
      </c>
      <c r="H4" s="26">
        <f t="shared" si="2"/>
        <v>5.1696392916308778</v>
      </c>
      <c r="I4" s="25">
        <f t="shared" si="3"/>
        <v>0.24771188272397957</v>
      </c>
      <c r="J4" s="33"/>
    </row>
    <row r="5" spans="2:10" ht="15.75" thickBot="1" x14ac:dyDescent="0.3">
      <c r="B5" s="21"/>
      <c r="C5" s="22" t="s">
        <v>14</v>
      </c>
      <c r="D5" s="1"/>
      <c r="E5" s="35">
        <v>3</v>
      </c>
      <c r="F5" s="4">
        <f t="shared" si="0"/>
        <v>0.29068215664657721</v>
      </c>
      <c r="G5" s="27">
        <f t="shared" si="1"/>
        <v>0.87204646993973167</v>
      </c>
      <c r="H5" s="26">
        <f t="shared" si="2"/>
        <v>6.0664102256676982</v>
      </c>
      <c r="I5" s="25">
        <f t="shared" si="3"/>
        <v>0.29068215664657721</v>
      </c>
      <c r="J5" s="38" t="s">
        <v>15</v>
      </c>
    </row>
    <row r="6" spans="2:10" ht="15.75" thickBot="1" x14ac:dyDescent="0.3">
      <c r="D6" s="1"/>
      <c r="E6" s="35">
        <v>4</v>
      </c>
      <c r="F6" s="4">
        <f t="shared" si="0"/>
        <v>0.23307366407640301</v>
      </c>
      <c r="G6" s="27">
        <f t="shared" si="1"/>
        <v>0.93229465630561204</v>
      </c>
      <c r="H6" s="26">
        <f t="shared" si="2"/>
        <v>4.8641460328988453</v>
      </c>
      <c r="I6" s="25">
        <f t="shared" si="3"/>
        <v>0.23307366407640301</v>
      </c>
      <c r="J6" s="32">
        <f>J2*60</f>
        <v>9.0247844678085549</v>
      </c>
    </row>
    <row r="7" spans="2:10" ht="15.75" thickBot="1" x14ac:dyDescent="0.3">
      <c r="B7" s="16" t="s">
        <v>7</v>
      </c>
      <c r="C7" s="15">
        <v>2.5</v>
      </c>
      <c r="D7" s="1"/>
      <c r="E7" s="36">
        <v>5</v>
      </c>
      <c r="F7" s="4">
        <f t="shared" si="0"/>
        <v>0.10139159307355285</v>
      </c>
      <c r="G7" s="28">
        <f t="shared" si="1"/>
        <v>0.50695796536776427</v>
      </c>
      <c r="H7" s="26">
        <f t="shared" si="2"/>
        <v>2.1159984641437117</v>
      </c>
      <c r="I7" s="25">
        <f t="shared" si="3"/>
        <v>0.10139159307355285</v>
      </c>
      <c r="J7" s="32"/>
    </row>
    <row r="8" spans="2:10" ht="15.75" thickBot="1" x14ac:dyDescent="0.3">
      <c r="B8" s="17" t="s">
        <v>8</v>
      </c>
      <c r="C8" s="12">
        <v>9</v>
      </c>
      <c r="D8" s="1"/>
      <c r="E8" s="7" t="s">
        <v>5</v>
      </c>
      <c r="F8" s="10">
        <f>SUM(F2:F7)</f>
        <v>0.99999999999999989</v>
      </c>
      <c r="G8" s="29">
        <f>SUM(G2:G7)</f>
        <v>2.923958781511633</v>
      </c>
      <c r="H8" s="29">
        <f>SUM(H2:H7)</f>
        <v>19.439525399912252</v>
      </c>
      <c r="I8" s="30">
        <f>SUM(I2:I7)</f>
        <v>0.93147725874579546</v>
      </c>
      <c r="J8" s="37" t="s">
        <v>16</v>
      </c>
    </row>
    <row r="9" spans="2:10" ht="15.75" thickBot="1" x14ac:dyDescent="0.3">
      <c r="B9" s="18" t="s">
        <v>9</v>
      </c>
      <c r="C9" s="11">
        <f>(C7+C8) / 2</f>
        <v>5.75</v>
      </c>
    </row>
    <row r="10" spans="2:10" ht="15.75" thickBot="1" x14ac:dyDescent="0.3">
      <c r="B10" s="23" t="s">
        <v>18</v>
      </c>
      <c r="C10" s="24"/>
    </row>
    <row r="11" spans="2:10" ht="15.75" thickBot="1" x14ac:dyDescent="0.3"/>
    <row r="12" spans="2:10" ht="15.75" thickBot="1" x14ac:dyDescent="0.3">
      <c r="B12" s="41" t="s">
        <v>0</v>
      </c>
      <c r="C12" s="45" t="s">
        <v>21</v>
      </c>
    </row>
    <row r="13" spans="2:10" x14ac:dyDescent="0.25">
      <c r="B13" s="42">
        <v>0</v>
      </c>
      <c r="C13" s="52">
        <v>446.37799999999999</v>
      </c>
    </row>
    <row r="14" spans="2:10" x14ac:dyDescent="0.25">
      <c r="B14" s="43">
        <v>1</v>
      </c>
      <c r="C14" s="53">
        <v>5283.4633999999996</v>
      </c>
    </row>
    <row r="15" spans="2:10" x14ac:dyDescent="0.25">
      <c r="B15" s="43">
        <v>2</v>
      </c>
      <c r="C15" s="53">
        <v>11163.6145</v>
      </c>
    </row>
    <row r="16" spans="2:10" x14ac:dyDescent="0.25">
      <c r="B16" s="43">
        <v>3</v>
      </c>
      <c r="C16" s="53">
        <v>13100.152899999999</v>
      </c>
    </row>
    <row r="17" spans="2:3" x14ac:dyDescent="0.25">
      <c r="B17" s="43">
        <v>4</v>
      </c>
      <c r="C17" s="53">
        <v>10503.9149</v>
      </c>
    </row>
    <row r="18" spans="2:3" ht="15.75" thickBot="1" x14ac:dyDescent="0.3">
      <c r="B18" s="44">
        <v>5</v>
      </c>
      <c r="C18" s="54">
        <v>4569.4080000000004</v>
      </c>
    </row>
    <row r="19" spans="2:3" ht="15.75" thickBot="1" x14ac:dyDescent="0.3">
      <c r="B19" s="46" t="s">
        <v>5</v>
      </c>
      <c r="C19" s="55">
        <f>SUM(C13:C18)</f>
        <v>45066.931700000008</v>
      </c>
    </row>
    <row r="20" spans="2:3" ht="15.75" thickBot="1" x14ac:dyDescent="0.3"/>
    <row r="21" spans="2:3" ht="15.75" thickBot="1" x14ac:dyDescent="0.3">
      <c r="B21" s="56" t="s">
        <v>30</v>
      </c>
      <c r="C21" s="57">
        <v>887</v>
      </c>
    </row>
  </sheetData>
  <mergeCells count="4">
    <mergeCell ref="J2:J4"/>
    <mergeCell ref="B4:B5"/>
    <mergeCell ref="B10:C10"/>
    <mergeCell ref="J6:J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3525-3634-4E66-9591-4A3FB9824D72}">
  <dimension ref="B1:J21"/>
  <sheetViews>
    <sheetView workbookViewId="0">
      <selection activeCell="H2" sqref="H2"/>
    </sheetView>
  </sheetViews>
  <sheetFormatPr defaultRowHeight="15" x14ac:dyDescent="0.25"/>
  <cols>
    <col min="2" max="2" width="13.7109375" bestFit="1" customWidth="1"/>
    <col min="3" max="3" width="21.85546875" bestFit="1" customWidth="1"/>
    <col min="5" max="10" width="15.28515625" style="1" customWidth="1"/>
  </cols>
  <sheetData>
    <row r="1" spans="2:10" ht="15.75" thickBot="1" x14ac:dyDescent="0.3">
      <c r="B1" s="13" t="s">
        <v>20</v>
      </c>
      <c r="C1" s="7" t="s">
        <v>19</v>
      </c>
      <c r="D1" s="1"/>
      <c r="E1" s="7" t="s">
        <v>0</v>
      </c>
      <c r="F1" s="8" t="s">
        <v>12</v>
      </c>
      <c r="G1" s="7" t="s">
        <v>11</v>
      </c>
      <c r="H1" s="7" t="s">
        <v>10</v>
      </c>
      <c r="I1" s="7" t="s">
        <v>1</v>
      </c>
      <c r="J1" s="9" t="s">
        <v>13</v>
      </c>
    </row>
    <row r="2" spans="2:10" x14ac:dyDescent="0.25">
      <c r="B2" s="19" t="s">
        <v>3</v>
      </c>
      <c r="C2" s="5">
        <v>1</v>
      </c>
      <c r="D2" s="1"/>
      <c r="E2" s="34">
        <v>0</v>
      </c>
      <c r="F2" s="4">
        <f>C13/$C$19</f>
        <v>0.49866668092102068</v>
      </c>
      <c r="G2" s="26">
        <f>F2*E2</f>
        <v>0</v>
      </c>
      <c r="H2" s="26">
        <f>F2 * MIN(E2,$C$2) * $C$4</f>
        <v>0</v>
      </c>
      <c r="I2" s="25">
        <f>F2 * (MIN(E2,$C$2) / $C$2)</f>
        <v>0</v>
      </c>
      <c r="J2" s="31">
        <f>G8/H8</f>
        <v>2.7468892916635432E-2</v>
      </c>
    </row>
    <row r="3" spans="2:10" x14ac:dyDescent="0.25">
      <c r="B3" s="19" t="s">
        <v>4</v>
      </c>
      <c r="C3" s="6">
        <v>5</v>
      </c>
      <c r="D3" s="1"/>
      <c r="E3" s="35">
        <v>1</v>
      </c>
      <c r="F3" s="4">
        <f t="shared" ref="F3:F7" si="0">C14/$C$19</f>
        <v>0.36325063069858243</v>
      </c>
      <c r="G3" s="27">
        <f t="shared" ref="G3:G7" si="1">F3*E3</f>
        <v>0.36325063069858243</v>
      </c>
      <c r="H3" s="26">
        <f t="shared" ref="H3:H7" si="2">F3 * MIN(E3,$C$2) * $C$4</f>
        <v>17.436030273531955</v>
      </c>
      <c r="I3" s="25">
        <f t="shared" ref="I3:I7" si="3">F3 * (MIN(E3,$C$2) / $C$2)</f>
        <v>0.36325063069858243</v>
      </c>
      <c r="J3" s="32"/>
    </row>
    <row r="4" spans="2:10" ht="15.75" thickBot="1" x14ac:dyDescent="0.3">
      <c r="B4" s="20" t="s">
        <v>6</v>
      </c>
      <c r="C4" s="14">
        <f>60/C9</f>
        <v>48</v>
      </c>
      <c r="D4" s="1"/>
      <c r="E4" s="35">
        <v>2</v>
      </c>
      <c r="F4" s="4">
        <f t="shared" si="0"/>
        <v>0.11791767683638939</v>
      </c>
      <c r="G4" s="27">
        <f t="shared" si="1"/>
        <v>0.23583535367277877</v>
      </c>
      <c r="H4" s="26">
        <f t="shared" si="2"/>
        <v>5.6600484881466908</v>
      </c>
      <c r="I4" s="25">
        <f t="shared" si="3"/>
        <v>0.11791767683638939</v>
      </c>
      <c r="J4" s="33"/>
    </row>
    <row r="5" spans="2:10" ht="15.75" thickBot="1" x14ac:dyDescent="0.3">
      <c r="B5" s="21"/>
      <c r="C5" s="22" t="s">
        <v>14</v>
      </c>
      <c r="D5" s="1"/>
      <c r="E5" s="35">
        <v>3</v>
      </c>
      <c r="F5" s="4">
        <f t="shared" si="0"/>
        <v>1.875721879074093E-2</v>
      </c>
      <c r="G5" s="27">
        <f t="shared" si="1"/>
        <v>5.6271656372222791E-2</v>
      </c>
      <c r="H5" s="26">
        <f t="shared" si="2"/>
        <v>0.90034650195556465</v>
      </c>
      <c r="I5" s="25">
        <f t="shared" si="3"/>
        <v>1.875721879074093E-2</v>
      </c>
      <c r="J5" s="38" t="s">
        <v>15</v>
      </c>
    </row>
    <row r="6" spans="2:10" ht="15.75" thickBot="1" x14ac:dyDescent="0.3">
      <c r="D6" s="1"/>
      <c r="E6" s="35">
        <v>4</v>
      </c>
      <c r="F6" s="4">
        <f t="shared" si="0"/>
        <v>1.3851841584653873E-3</v>
      </c>
      <c r="G6" s="27">
        <f t="shared" si="1"/>
        <v>5.5407366338615493E-3</v>
      </c>
      <c r="H6" s="26">
        <f t="shared" si="2"/>
        <v>6.6488839606338584E-2</v>
      </c>
      <c r="I6" s="25">
        <f t="shared" si="3"/>
        <v>1.3851841584653873E-3</v>
      </c>
      <c r="J6" s="32">
        <f>J2*60</f>
        <v>1.6481335749981258</v>
      </c>
    </row>
    <row r="7" spans="2:10" ht="15.75" thickBot="1" x14ac:dyDescent="0.3">
      <c r="B7" s="16" t="s">
        <v>7</v>
      </c>
      <c r="C7" s="15">
        <v>0.5</v>
      </c>
      <c r="D7" s="1"/>
      <c r="E7" s="36">
        <v>5</v>
      </c>
      <c r="F7" s="4">
        <f t="shared" si="0"/>
        <v>2.2608594801210761E-5</v>
      </c>
      <c r="G7" s="28">
        <f t="shared" si="1"/>
        <v>1.1304297400605381E-4</v>
      </c>
      <c r="H7" s="26">
        <f t="shared" si="2"/>
        <v>1.0852125504581165E-3</v>
      </c>
      <c r="I7" s="25">
        <f t="shared" si="3"/>
        <v>2.2608594801210761E-5</v>
      </c>
      <c r="J7" s="32"/>
    </row>
    <row r="8" spans="2:10" ht="15.75" thickBot="1" x14ac:dyDescent="0.3">
      <c r="B8" s="17" t="s">
        <v>8</v>
      </c>
      <c r="C8" s="12">
        <v>2</v>
      </c>
      <c r="D8" s="1"/>
      <c r="E8" s="7" t="s">
        <v>5</v>
      </c>
      <c r="F8" s="10">
        <f>SUM(F2:F7)</f>
        <v>0.99999999999999989</v>
      </c>
      <c r="G8" s="29">
        <f>SUM(G2:G7)</f>
        <v>0.66101142035145155</v>
      </c>
      <c r="H8" s="29">
        <f>SUM(H2:H7)</f>
        <v>24.063999315791008</v>
      </c>
      <c r="I8" s="30">
        <f>SUM(I2:I7)</f>
        <v>0.50133331907897927</v>
      </c>
      <c r="J8" s="37" t="s">
        <v>16</v>
      </c>
    </row>
    <row r="9" spans="2:10" ht="15.75" thickBot="1" x14ac:dyDescent="0.3">
      <c r="B9" s="18" t="s">
        <v>9</v>
      </c>
      <c r="C9" s="11">
        <f>(C7+C8) / 2</f>
        <v>1.25</v>
      </c>
    </row>
    <row r="10" spans="2:10" ht="15.75" thickBot="1" x14ac:dyDescent="0.3">
      <c r="B10" s="23" t="s">
        <v>18</v>
      </c>
      <c r="C10" s="24"/>
    </row>
    <row r="11" spans="2:10" ht="15.75" thickBot="1" x14ac:dyDescent="0.3"/>
    <row r="12" spans="2:10" ht="15.75" thickBot="1" x14ac:dyDescent="0.3">
      <c r="B12" s="41" t="s">
        <v>0</v>
      </c>
      <c r="C12" s="45" t="s">
        <v>21</v>
      </c>
    </row>
    <row r="13" spans="2:10" x14ac:dyDescent="0.25">
      <c r="B13" s="42">
        <v>0</v>
      </c>
      <c r="C13" s="52">
        <v>22473.3773</v>
      </c>
    </row>
    <row r="14" spans="2:10" x14ac:dyDescent="0.25">
      <c r="B14" s="43">
        <v>1</v>
      </c>
      <c r="C14" s="53">
        <v>16370.591399999999</v>
      </c>
    </row>
    <row r="15" spans="2:10" x14ac:dyDescent="0.25">
      <c r="B15" s="43">
        <v>2</v>
      </c>
      <c r="C15" s="53">
        <v>5314.1878999999999</v>
      </c>
    </row>
    <row r="16" spans="2:10" x14ac:dyDescent="0.25">
      <c r="B16" s="43">
        <v>3</v>
      </c>
      <c r="C16" s="53">
        <v>845.33029999999997</v>
      </c>
    </row>
    <row r="17" spans="2:3" x14ac:dyDescent="0.25">
      <c r="B17" s="43">
        <v>4</v>
      </c>
      <c r="C17" s="53">
        <v>62.426000000000002</v>
      </c>
    </row>
    <row r="18" spans="2:3" ht="15.75" thickBot="1" x14ac:dyDescent="0.3">
      <c r="B18" s="44">
        <v>5</v>
      </c>
      <c r="C18" s="54">
        <v>1.0188999999999999</v>
      </c>
    </row>
    <row r="19" spans="2:3" ht="15.75" thickBot="1" x14ac:dyDescent="0.3">
      <c r="B19" s="46" t="s">
        <v>5</v>
      </c>
      <c r="C19" s="55">
        <f>SUM(C13:C18)</f>
        <v>45066.931799999998</v>
      </c>
    </row>
    <row r="20" spans="2:3" ht="15.75" thickBot="1" x14ac:dyDescent="0.3"/>
    <row r="21" spans="2:3" ht="15.75" thickBot="1" x14ac:dyDescent="0.3">
      <c r="B21" s="56" t="s">
        <v>30</v>
      </c>
      <c r="C21" s="57">
        <v>0</v>
      </c>
    </row>
  </sheetData>
  <mergeCells count="4">
    <mergeCell ref="J2:J4"/>
    <mergeCell ref="B4:B5"/>
    <mergeCell ref="J6:J7"/>
    <mergeCell ref="B10:C1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2C2C-D6FD-4AF9-9383-611606938F67}">
  <dimension ref="B1:J36"/>
  <sheetViews>
    <sheetView zoomScaleNormal="100" workbookViewId="0">
      <selection activeCell="F34" sqref="F34"/>
    </sheetView>
  </sheetViews>
  <sheetFormatPr defaultRowHeight="15" x14ac:dyDescent="0.25"/>
  <cols>
    <col min="2" max="2" width="13.7109375" bestFit="1" customWidth="1"/>
    <col min="3" max="3" width="21.85546875" bestFit="1" customWidth="1"/>
    <col min="5" max="10" width="15.28515625" style="1" customWidth="1"/>
  </cols>
  <sheetData>
    <row r="1" spans="2:10" ht="15.75" thickBot="1" x14ac:dyDescent="0.3">
      <c r="B1" s="13" t="s">
        <v>22</v>
      </c>
      <c r="C1" s="7" t="s">
        <v>23</v>
      </c>
      <c r="D1" s="1"/>
      <c r="E1" s="7" t="s">
        <v>0</v>
      </c>
      <c r="F1" s="51" t="s">
        <v>12</v>
      </c>
      <c r="G1" s="7" t="s">
        <v>11</v>
      </c>
      <c r="H1" s="7" t="s">
        <v>10</v>
      </c>
      <c r="I1" s="7" t="s">
        <v>1</v>
      </c>
      <c r="J1" s="9" t="s">
        <v>13</v>
      </c>
    </row>
    <row r="2" spans="2:10" x14ac:dyDescent="0.25">
      <c r="B2" s="19" t="s">
        <v>3</v>
      </c>
      <c r="C2" s="5">
        <v>3</v>
      </c>
      <c r="D2" s="1"/>
      <c r="E2" s="34">
        <v>0</v>
      </c>
      <c r="F2" s="3">
        <f>C13/$C$34</f>
        <v>1.9636792845244429E-4</v>
      </c>
      <c r="G2" s="49">
        <f>F2*E2</f>
        <v>0</v>
      </c>
      <c r="H2" s="49">
        <f>F2 * MIN(E2,$C$2) * $C$4</f>
        <v>0</v>
      </c>
      <c r="I2" s="50">
        <f>F2 * (MIN(E2,$C$2) / $C$2)</f>
        <v>0</v>
      </c>
      <c r="J2" s="31">
        <f>G23/H23</f>
        <v>1.2116227851762713</v>
      </c>
    </row>
    <row r="3" spans="2:10" x14ac:dyDescent="0.25">
      <c r="B3" s="19" t="s">
        <v>4</v>
      </c>
      <c r="C3" s="6">
        <v>20</v>
      </c>
      <c r="D3" s="1"/>
      <c r="E3" s="35">
        <v>1</v>
      </c>
      <c r="F3" s="2">
        <f>C14/$C$34</f>
        <v>3.9703834640475059E-4</v>
      </c>
      <c r="G3" s="47">
        <f t="shared" ref="G3:G22" si="0">F3*E3</f>
        <v>3.9703834640475059E-4</v>
      </c>
      <c r="H3" s="47">
        <f t="shared" ref="H3:H22" si="1">F3 * MIN(E3,$C$2) * $C$4</f>
        <v>2.0715044160247859E-3</v>
      </c>
      <c r="I3" s="48">
        <f t="shared" ref="I3:I22" si="2">F3 * (MIN(E3,$C$2) / $C$2)</f>
        <v>1.3234611546825018E-4</v>
      </c>
      <c r="J3" s="32"/>
    </row>
    <row r="4" spans="2:10" x14ac:dyDescent="0.25">
      <c r="B4" s="20" t="s">
        <v>6</v>
      </c>
      <c r="C4" s="14">
        <f>60/C9</f>
        <v>5.2173913043478262</v>
      </c>
      <c r="D4" s="1"/>
      <c r="E4" s="35">
        <v>2</v>
      </c>
      <c r="F4" s="2">
        <f>C15/$C$34</f>
        <v>1.7318685170924751E-4</v>
      </c>
      <c r="G4" s="47">
        <f t="shared" si="0"/>
        <v>3.4637370341849503E-4</v>
      </c>
      <c r="H4" s="47">
        <f t="shared" si="1"/>
        <v>1.8071671482704089E-3</v>
      </c>
      <c r="I4" s="48">
        <f t="shared" si="2"/>
        <v>1.1545790113949834E-4</v>
      </c>
      <c r="J4" s="32"/>
    </row>
    <row r="5" spans="2:10" ht="15.75" thickBot="1" x14ac:dyDescent="0.3">
      <c r="B5" s="21"/>
      <c r="C5" s="22" t="s">
        <v>14</v>
      </c>
      <c r="D5" s="1"/>
      <c r="E5" s="35">
        <v>3</v>
      </c>
      <c r="F5" s="2">
        <f>C16/$C$34</f>
        <v>6.9282285018046363E-4</v>
      </c>
      <c r="G5" s="47">
        <f t="shared" si="0"/>
        <v>2.0784685505413911E-3</v>
      </c>
      <c r="H5" s="47">
        <f t="shared" si="1"/>
        <v>1.0844183741955084E-2</v>
      </c>
      <c r="I5" s="48">
        <f t="shared" si="2"/>
        <v>6.9282285018046363E-4</v>
      </c>
      <c r="J5" s="32"/>
    </row>
    <row r="6" spans="2:10" ht="15.75" thickBot="1" x14ac:dyDescent="0.3">
      <c r="D6" s="1"/>
      <c r="E6" s="35">
        <v>4</v>
      </c>
      <c r="F6" s="2">
        <f>C17/$C$34</f>
        <v>9.8123831443629964E-4</v>
      </c>
      <c r="G6" s="47">
        <f t="shared" si="0"/>
        <v>3.9249532577451986E-3</v>
      </c>
      <c r="H6" s="47">
        <f t="shared" si="1"/>
        <v>1.5358512747698604E-2</v>
      </c>
      <c r="I6" s="48">
        <f t="shared" si="2"/>
        <v>9.8123831443629964E-4</v>
      </c>
      <c r="J6" s="32"/>
    </row>
    <row r="7" spans="2:10" x14ac:dyDescent="0.25">
      <c r="B7" s="16" t="s">
        <v>7</v>
      </c>
      <c r="C7" s="15">
        <v>5</v>
      </c>
      <c r="D7" s="1"/>
      <c r="E7" s="35">
        <v>5</v>
      </c>
      <c r="F7" s="2">
        <f>C18/$C$34</f>
        <v>7.5126037646636677E-4</v>
      </c>
      <c r="G7" s="47">
        <f t="shared" si="0"/>
        <v>3.756301882331834E-3</v>
      </c>
      <c r="H7" s="47">
        <f t="shared" si="1"/>
        <v>1.1758858066430088E-2</v>
      </c>
      <c r="I7" s="48">
        <f t="shared" si="2"/>
        <v>7.5126037646636677E-4</v>
      </c>
      <c r="J7" s="32"/>
    </row>
    <row r="8" spans="2:10" x14ac:dyDescent="0.25">
      <c r="B8" s="17" t="s">
        <v>8</v>
      </c>
      <c r="C8" s="12">
        <v>18</v>
      </c>
      <c r="D8" s="1"/>
      <c r="E8" s="35">
        <v>6</v>
      </c>
      <c r="F8" s="3">
        <f t="shared" ref="F8:F22" si="3">C19/$C$34</f>
        <v>2.2464586872384277E-4</v>
      </c>
      <c r="G8" s="49">
        <f t="shared" si="0"/>
        <v>1.3478752123430567E-3</v>
      </c>
      <c r="H8" s="49">
        <f t="shared" si="1"/>
        <v>3.5161962061123217E-3</v>
      </c>
      <c r="I8" s="50">
        <f t="shared" si="2"/>
        <v>2.2464586872384277E-4</v>
      </c>
      <c r="J8" s="32"/>
    </row>
    <row r="9" spans="2:10" ht="15.75" thickBot="1" x14ac:dyDescent="0.3">
      <c r="B9" s="18" t="s">
        <v>9</v>
      </c>
      <c r="C9" s="11">
        <f>(C7+C8) / 2</f>
        <v>11.5</v>
      </c>
      <c r="E9" s="35">
        <v>7</v>
      </c>
      <c r="F9" s="2">
        <f t="shared" si="3"/>
        <v>1.0742688326267148E-4</v>
      </c>
      <c r="G9" s="47">
        <f t="shared" si="0"/>
        <v>7.5198818283870044E-4</v>
      </c>
      <c r="H9" s="47">
        <f t="shared" si="1"/>
        <v>1.6814642597635537E-3</v>
      </c>
      <c r="I9" s="48">
        <f t="shared" si="2"/>
        <v>1.0742688326267148E-4</v>
      </c>
      <c r="J9" s="32"/>
    </row>
    <row r="10" spans="2:10" ht="15.75" thickBot="1" x14ac:dyDescent="0.3">
      <c r="B10" s="23" t="s">
        <v>18</v>
      </c>
      <c r="C10" s="24"/>
      <c r="E10" s="35">
        <v>8</v>
      </c>
      <c r="F10" s="2">
        <f t="shared" si="3"/>
        <v>1.4188230201143758E-4</v>
      </c>
      <c r="G10" s="47">
        <f t="shared" si="0"/>
        <v>1.1350584160915007E-3</v>
      </c>
      <c r="H10" s="47">
        <f t="shared" si="1"/>
        <v>2.2207664662659797E-3</v>
      </c>
      <c r="I10" s="48">
        <f t="shared" si="2"/>
        <v>1.4188230201143758E-4</v>
      </c>
      <c r="J10" s="32"/>
    </row>
    <row r="11" spans="2:10" ht="15.75" thickBot="1" x14ac:dyDescent="0.3">
      <c r="E11" s="35">
        <v>9</v>
      </c>
      <c r="F11" s="2">
        <f t="shared" si="3"/>
        <v>2.5645855152916602E-4</v>
      </c>
      <c r="G11" s="47">
        <f t="shared" si="0"/>
        <v>2.308126963762494E-3</v>
      </c>
      <c r="H11" s="47">
        <f t="shared" si="1"/>
        <v>4.0141338500217288E-3</v>
      </c>
      <c r="I11" s="48">
        <f t="shared" si="2"/>
        <v>2.5645855152916602E-4</v>
      </c>
      <c r="J11" s="32"/>
    </row>
    <row r="12" spans="2:10" ht="15.75" thickBot="1" x14ac:dyDescent="0.3">
      <c r="B12" s="41" t="s">
        <v>0</v>
      </c>
      <c r="C12" s="45" t="s">
        <v>21</v>
      </c>
      <c r="E12" s="35">
        <v>10</v>
      </c>
      <c r="F12" s="2">
        <f t="shared" si="3"/>
        <v>1.9228733113926935E-4</v>
      </c>
      <c r="G12" s="47">
        <f t="shared" si="0"/>
        <v>1.9228733113926936E-3</v>
      </c>
      <c r="H12" s="47">
        <f t="shared" si="1"/>
        <v>3.0097147482668245E-3</v>
      </c>
      <c r="I12" s="48">
        <f t="shared" si="2"/>
        <v>1.9228733113926935E-4</v>
      </c>
      <c r="J12" s="32"/>
    </row>
    <row r="13" spans="2:10" x14ac:dyDescent="0.25">
      <c r="B13" s="42">
        <v>0</v>
      </c>
      <c r="C13" s="52">
        <v>8.8497000000000003</v>
      </c>
      <c r="E13" s="35">
        <v>11</v>
      </c>
      <c r="F13" s="2">
        <f t="shared" si="3"/>
        <v>1.5176316108461222E-4</v>
      </c>
      <c r="G13" s="47">
        <f t="shared" si="0"/>
        <v>1.6693947719307344E-3</v>
      </c>
      <c r="H13" s="47">
        <f t="shared" si="1"/>
        <v>2.3754233908895826E-3</v>
      </c>
      <c r="I13" s="48">
        <f t="shared" si="2"/>
        <v>1.5176316108461222E-4</v>
      </c>
      <c r="J13" s="32"/>
    </row>
    <row r="14" spans="2:10" x14ac:dyDescent="0.25">
      <c r="B14" s="43">
        <v>1</v>
      </c>
      <c r="C14" s="53">
        <v>17.8933</v>
      </c>
      <c r="E14" s="35">
        <v>12</v>
      </c>
      <c r="F14" s="3">
        <f t="shared" si="3"/>
        <v>2.3152896435487525E-4</v>
      </c>
      <c r="G14" s="49">
        <f t="shared" si="0"/>
        <v>2.7783475722585032E-3</v>
      </c>
      <c r="H14" s="49">
        <f t="shared" si="1"/>
        <v>3.6239316159893519E-3</v>
      </c>
      <c r="I14" s="50">
        <f t="shared" si="2"/>
        <v>2.3152896435487525E-4</v>
      </c>
      <c r="J14" s="32"/>
    </row>
    <row r="15" spans="2:10" x14ac:dyDescent="0.25">
      <c r="B15" s="43">
        <v>2</v>
      </c>
      <c r="C15" s="53">
        <v>7.8049999999999997</v>
      </c>
      <c r="E15" s="35">
        <v>13</v>
      </c>
      <c r="F15" s="2">
        <f t="shared" si="3"/>
        <v>3.5012368137350626E-4</v>
      </c>
      <c r="G15" s="47">
        <f t="shared" si="0"/>
        <v>4.5516078578555818E-3</v>
      </c>
      <c r="H15" s="47">
        <f t="shared" si="1"/>
        <v>5.4801967519331422E-3</v>
      </c>
      <c r="I15" s="48">
        <f t="shared" si="2"/>
        <v>3.5012368137350626E-4</v>
      </c>
      <c r="J15" s="32"/>
    </row>
    <row r="16" spans="2:10" x14ac:dyDescent="0.25">
      <c r="B16" s="43">
        <v>3</v>
      </c>
      <c r="C16" s="53">
        <v>31.223400000000002</v>
      </c>
      <c r="E16" s="35">
        <v>14</v>
      </c>
      <c r="F16" s="2">
        <f t="shared" si="3"/>
        <v>1.6732623527446898E-3</v>
      </c>
      <c r="G16" s="47">
        <f t="shared" si="0"/>
        <v>2.3425672938425658E-2</v>
      </c>
      <c r="H16" s="47">
        <f t="shared" si="1"/>
        <v>2.619019334730819E-2</v>
      </c>
      <c r="I16" s="48">
        <f t="shared" si="2"/>
        <v>1.6732623527446898E-3</v>
      </c>
      <c r="J16" s="32"/>
    </row>
    <row r="17" spans="2:10" x14ac:dyDescent="0.25">
      <c r="B17" s="43">
        <v>4</v>
      </c>
      <c r="C17" s="53">
        <v>44.221400000000003</v>
      </c>
      <c r="E17" s="35">
        <v>15</v>
      </c>
      <c r="F17" s="2">
        <f t="shared" si="3"/>
        <v>5.6544763744243911E-3</v>
      </c>
      <c r="G17" s="47">
        <f t="shared" si="0"/>
        <v>8.4817145616365872E-2</v>
      </c>
      <c r="H17" s="47">
        <f t="shared" si="1"/>
        <v>8.8504847599686118E-2</v>
      </c>
      <c r="I17" s="48">
        <f t="shared" si="2"/>
        <v>5.6544763744243911E-3</v>
      </c>
      <c r="J17" s="32"/>
    </row>
    <row r="18" spans="2:10" x14ac:dyDescent="0.25">
      <c r="B18" s="43">
        <v>5</v>
      </c>
      <c r="C18" s="54">
        <v>33.856999999999999</v>
      </c>
      <c r="E18" s="35">
        <v>16</v>
      </c>
      <c r="F18" s="2">
        <f t="shared" si="3"/>
        <v>1.9436978931132734E-2</v>
      </c>
      <c r="G18" s="47">
        <f t="shared" si="0"/>
        <v>0.31099166289812374</v>
      </c>
      <c r="H18" s="47">
        <f t="shared" si="1"/>
        <v>0.30423097457425147</v>
      </c>
      <c r="I18" s="48">
        <f t="shared" si="2"/>
        <v>1.9436978931132734E-2</v>
      </c>
      <c r="J18" s="32"/>
    </row>
    <row r="19" spans="2:10" ht="15.75" thickBot="1" x14ac:dyDescent="0.3">
      <c r="B19" s="43">
        <v>6</v>
      </c>
      <c r="C19" s="54">
        <v>10.1241</v>
      </c>
      <c r="E19" s="35">
        <v>17</v>
      </c>
      <c r="F19" s="2">
        <f t="shared" si="3"/>
        <v>5.902892887431458E-2</v>
      </c>
      <c r="G19" s="47">
        <f t="shared" si="0"/>
        <v>1.0034917908633478</v>
      </c>
      <c r="H19" s="47">
        <f t="shared" si="1"/>
        <v>0.9239310606414457</v>
      </c>
      <c r="I19" s="48">
        <f t="shared" si="2"/>
        <v>5.902892887431458E-2</v>
      </c>
      <c r="J19" s="33"/>
    </row>
    <row r="20" spans="2:10" x14ac:dyDescent="0.25">
      <c r="B20" s="43">
        <v>7</v>
      </c>
      <c r="C20" s="54">
        <v>4.8414000000000001</v>
      </c>
      <c r="E20" s="35">
        <v>18</v>
      </c>
      <c r="F20" s="3">
        <f t="shared" si="3"/>
        <v>0.17239371362038769</v>
      </c>
      <c r="G20" s="49">
        <f t="shared" si="0"/>
        <v>3.1030868451669784</v>
      </c>
      <c r="H20" s="49">
        <f t="shared" si="1"/>
        <v>2.6983363871017203</v>
      </c>
      <c r="I20" s="50">
        <f t="shared" si="2"/>
        <v>0.17239371362038769</v>
      </c>
      <c r="J20" s="38" t="s">
        <v>15</v>
      </c>
    </row>
    <row r="21" spans="2:10" x14ac:dyDescent="0.25">
      <c r="B21" s="43">
        <v>8</v>
      </c>
      <c r="C21" s="54">
        <v>6.3941999999999997</v>
      </c>
      <c r="E21" s="35">
        <v>19</v>
      </c>
      <c r="F21" s="2">
        <f t="shared" si="3"/>
        <v>0.33738173556950124</v>
      </c>
      <c r="G21" s="47">
        <f t="shared" si="0"/>
        <v>6.4102529758205238</v>
      </c>
      <c r="H21" s="47">
        <f t="shared" si="1"/>
        <v>5.2807576002182808</v>
      </c>
      <c r="I21" s="48">
        <f t="shared" si="2"/>
        <v>0.33738173556950124</v>
      </c>
      <c r="J21" s="32">
        <f>J2*60</f>
        <v>72.69736711057628</v>
      </c>
    </row>
    <row r="22" spans="2:10" ht="15.75" thickBot="1" x14ac:dyDescent="0.3">
      <c r="B22" s="43">
        <v>9</v>
      </c>
      <c r="C22" s="54">
        <v>11.5578</v>
      </c>
      <c r="E22" s="36">
        <v>20</v>
      </c>
      <c r="F22" s="2">
        <f t="shared" si="3"/>
        <v>0.39958287286636573</v>
      </c>
      <c r="G22" s="47">
        <f t="shared" si="0"/>
        <v>7.9916574573273147</v>
      </c>
      <c r="H22" s="47">
        <f t="shared" si="1"/>
        <v>6.2543406187778983</v>
      </c>
      <c r="I22" s="48">
        <f t="shared" si="2"/>
        <v>0.39958287286636573</v>
      </c>
      <c r="J22" s="32"/>
    </row>
    <row r="23" spans="2:10" ht="15.75" thickBot="1" x14ac:dyDescent="0.3">
      <c r="B23" s="43">
        <v>10</v>
      </c>
      <c r="C23" s="54">
        <v>8.6658000000000008</v>
      </c>
      <c r="E23" s="7" t="s">
        <v>5</v>
      </c>
      <c r="F23" s="10">
        <f>SUM(F2:F22)</f>
        <v>1</v>
      </c>
      <c r="G23" s="29">
        <f>SUM(G2:G22)</f>
        <v>18.954691958659993</v>
      </c>
      <c r="H23" s="29">
        <f>SUM(H2:H22)</f>
        <v>15.644053735670212</v>
      </c>
      <c r="I23" s="30">
        <f>SUM(I2:I22)</f>
        <v>0.99948121089004127</v>
      </c>
      <c r="J23" s="37" t="s">
        <v>16</v>
      </c>
    </row>
    <row r="24" spans="2:10" x14ac:dyDescent="0.25">
      <c r="B24" s="43">
        <v>11</v>
      </c>
      <c r="C24" s="54">
        <v>6.8395000000000001</v>
      </c>
    </row>
    <row r="25" spans="2:10" x14ac:dyDescent="0.25">
      <c r="B25" s="43">
        <v>12</v>
      </c>
      <c r="C25" s="54">
        <v>10.4343</v>
      </c>
    </row>
    <row r="26" spans="2:10" x14ac:dyDescent="0.25">
      <c r="B26" s="43">
        <v>13</v>
      </c>
      <c r="C26" s="54">
        <v>15.779</v>
      </c>
    </row>
    <row r="27" spans="2:10" x14ac:dyDescent="0.25">
      <c r="B27" s="43">
        <v>14</v>
      </c>
      <c r="C27" s="54">
        <v>75.408799999999999</v>
      </c>
    </row>
    <row r="28" spans="2:10" x14ac:dyDescent="0.25">
      <c r="B28" s="43">
        <v>15</v>
      </c>
      <c r="C28" s="54">
        <v>254.82990000000001</v>
      </c>
    </row>
    <row r="29" spans="2:10" x14ac:dyDescent="0.25">
      <c r="B29" s="43">
        <v>16</v>
      </c>
      <c r="C29" s="54">
        <v>875.96500000000003</v>
      </c>
    </row>
    <row r="30" spans="2:10" x14ac:dyDescent="0.25">
      <c r="B30" s="43">
        <v>17</v>
      </c>
      <c r="C30" s="54">
        <v>2660.2527</v>
      </c>
    </row>
    <row r="31" spans="2:10" x14ac:dyDescent="0.25">
      <c r="B31" s="43">
        <v>18</v>
      </c>
      <c r="C31" s="54">
        <v>7769.2556999999997</v>
      </c>
    </row>
    <row r="32" spans="2:10" x14ac:dyDescent="0.25">
      <c r="B32" s="43">
        <v>19</v>
      </c>
      <c r="C32" s="54">
        <v>15204.759599999999</v>
      </c>
    </row>
    <row r="33" spans="2:3" ht="15.75" thickBot="1" x14ac:dyDescent="0.3">
      <c r="B33" s="43">
        <v>20</v>
      </c>
      <c r="C33" s="54">
        <v>18007.973999999998</v>
      </c>
    </row>
    <row r="34" spans="2:3" ht="15.75" thickBot="1" x14ac:dyDescent="0.3">
      <c r="B34" s="46" t="s">
        <v>5</v>
      </c>
      <c r="C34" s="55">
        <f>SUM(C13:C33)</f>
        <v>45066.931599999996</v>
      </c>
    </row>
    <row r="35" spans="2:3" ht="15.75" thickBot="1" x14ac:dyDescent="0.3"/>
    <row r="36" spans="2:3" ht="15.75" thickBot="1" x14ac:dyDescent="0.3">
      <c r="B36" s="56" t="s">
        <v>30</v>
      </c>
      <c r="C36" s="57">
        <v>3789</v>
      </c>
    </row>
  </sheetData>
  <mergeCells count="4">
    <mergeCell ref="B4:B5"/>
    <mergeCell ref="J21:J22"/>
    <mergeCell ref="B10:C10"/>
    <mergeCell ref="J2:J1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6D75-2EC3-41E9-BB15-C671C874C5BD}">
  <dimension ref="B1:J26"/>
  <sheetViews>
    <sheetView workbookViewId="0">
      <selection activeCell="J2" sqref="J2:J9"/>
    </sheetView>
  </sheetViews>
  <sheetFormatPr defaultRowHeight="15" x14ac:dyDescent="0.25"/>
  <cols>
    <col min="2" max="2" width="13.7109375" bestFit="1" customWidth="1"/>
    <col min="3" max="3" width="21.85546875" bestFit="1" customWidth="1"/>
    <col min="5" max="10" width="15.28515625" style="1" customWidth="1"/>
  </cols>
  <sheetData>
    <row r="1" spans="2:10" ht="15.75" thickBot="1" x14ac:dyDescent="0.3">
      <c r="B1" s="13" t="s">
        <v>17</v>
      </c>
      <c r="C1" s="7" t="s">
        <v>24</v>
      </c>
      <c r="D1" s="1"/>
      <c r="E1" s="7" t="s">
        <v>0</v>
      </c>
      <c r="F1" s="8" t="s">
        <v>12</v>
      </c>
      <c r="G1" s="7" t="s">
        <v>11</v>
      </c>
      <c r="H1" s="7" t="s">
        <v>10</v>
      </c>
      <c r="I1" s="7" t="s">
        <v>1</v>
      </c>
      <c r="J1" s="9" t="s">
        <v>13</v>
      </c>
    </row>
    <row r="2" spans="2:10" x14ac:dyDescent="0.25">
      <c r="B2" s="19" t="s">
        <v>3</v>
      </c>
      <c r="C2" s="5">
        <v>3</v>
      </c>
      <c r="D2" s="1"/>
      <c r="E2" s="34">
        <v>0</v>
      </c>
      <c r="F2" s="4">
        <f>C13/$C$24</f>
        <v>1.2431829553645163E-2</v>
      </c>
      <c r="G2" s="26">
        <f>F2*E2</f>
        <v>0</v>
      </c>
      <c r="H2" s="26">
        <f>F2 * MIN(E2,$C$2) * $C$4</f>
        <v>0</v>
      </c>
      <c r="I2" s="25">
        <f>F2 * (MIN(E2,$C$2) / $C$2)</f>
        <v>0</v>
      </c>
      <c r="J2" s="31">
        <f>G13/H13</f>
        <v>0.12031050850598778</v>
      </c>
    </row>
    <row r="3" spans="2:10" x14ac:dyDescent="0.25">
      <c r="B3" s="19" t="s">
        <v>4</v>
      </c>
      <c r="C3" s="6">
        <v>10</v>
      </c>
      <c r="D3" s="1"/>
      <c r="E3" s="35">
        <v>1</v>
      </c>
      <c r="F3" s="4">
        <f>C14/$C$24</f>
        <v>0.13225910761257076</v>
      </c>
      <c r="G3" s="27">
        <f t="shared" ref="G3:G12" si="0">F3*E3</f>
        <v>0.13225910761257076</v>
      </c>
      <c r="H3" s="26">
        <f t="shared" ref="H3:H12" si="1">F3 * MIN(E3,$C$2) * $C$4</f>
        <v>1.3800950359572601</v>
      </c>
      <c r="I3" s="25">
        <f t="shared" ref="I3:I12" si="2">F3 * (MIN(E3,$C$2) / $C$2)</f>
        <v>4.4086369204190248E-2</v>
      </c>
      <c r="J3" s="32"/>
    </row>
    <row r="4" spans="2:10" x14ac:dyDescent="0.25">
      <c r="B4" s="20" t="s">
        <v>6</v>
      </c>
      <c r="C4" s="14">
        <f>60/C9</f>
        <v>10.434782608695652</v>
      </c>
      <c r="D4" s="1"/>
      <c r="E4" s="35">
        <v>2</v>
      </c>
      <c r="F4" s="4">
        <f>C15/$C$24</f>
        <v>0.26580404813453512</v>
      </c>
      <c r="G4" s="27">
        <f t="shared" si="0"/>
        <v>0.53160809626907024</v>
      </c>
      <c r="H4" s="26">
        <f t="shared" si="1"/>
        <v>5.5472149175902983</v>
      </c>
      <c r="I4" s="25">
        <f t="shared" si="2"/>
        <v>0.17720269875635675</v>
      </c>
      <c r="J4" s="32"/>
    </row>
    <row r="5" spans="2:10" ht="15.75" thickBot="1" x14ac:dyDescent="0.3">
      <c r="B5" s="21"/>
      <c r="C5" s="22" t="s">
        <v>14</v>
      </c>
      <c r="D5" s="1"/>
      <c r="E5" s="35">
        <v>3</v>
      </c>
      <c r="F5" s="4">
        <f>C16/$C$24</f>
        <v>0.25417186372796158</v>
      </c>
      <c r="G5" s="27">
        <f t="shared" si="0"/>
        <v>0.76251559118388479</v>
      </c>
      <c r="H5" s="26">
        <f t="shared" si="1"/>
        <v>7.9566844297448851</v>
      </c>
      <c r="I5" s="25">
        <f t="shared" si="2"/>
        <v>0.25417186372796158</v>
      </c>
      <c r="J5" s="32"/>
    </row>
    <row r="6" spans="2:10" ht="15.75" thickBot="1" x14ac:dyDescent="0.3">
      <c r="D6" s="1"/>
      <c r="E6" s="35">
        <v>4</v>
      </c>
      <c r="F6" s="4">
        <f>C17/$C$24</f>
        <v>0.17064486148235256</v>
      </c>
      <c r="G6" s="27">
        <f t="shared" si="0"/>
        <v>0.68257944592941022</v>
      </c>
      <c r="H6" s="26">
        <f t="shared" si="1"/>
        <v>5.3419260985779928</v>
      </c>
      <c r="I6" s="25">
        <f t="shared" si="2"/>
        <v>0.17064486148235256</v>
      </c>
      <c r="J6" s="32"/>
    </row>
    <row r="7" spans="2:10" x14ac:dyDescent="0.25">
      <c r="B7" s="16" t="s">
        <v>7</v>
      </c>
      <c r="C7" s="15">
        <v>2.5</v>
      </c>
      <c r="D7" s="1"/>
      <c r="E7" s="36">
        <v>5</v>
      </c>
      <c r="F7" s="4">
        <f>C18/$C$24</f>
        <v>9.2035006293385332E-2</v>
      </c>
      <c r="G7" s="28">
        <f t="shared" si="0"/>
        <v>0.46017503146692668</v>
      </c>
      <c r="H7" s="26">
        <f t="shared" si="1"/>
        <v>2.8810958491842364</v>
      </c>
      <c r="I7" s="25">
        <f t="shared" si="2"/>
        <v>9.2035006293385332E-2</v>
      </c>
      <c r="J7" s="32"/>
    </row>
    <row r="8" spans="2:10" x14ac:dyDescent="0.25">
      <c r="B8" s="17" t="s">
        <v>8</v>
      </c>
      <c r="C8" s="12">
        <v>9</v>
      </c>
      <c r="D8" s="1"/>
      <c r="E8" s="35">
        <v>6</v>
      </c>
      <c r="F8" s="4">
        <f t="shared" ref="F8:F12" si="3">C19/$C$24</f>
        <v>4.2452239170646902E-2</v>
      </c>
      <c r="G8" s="27">
        <f t="shared" si="0"/>
        <v>0.25471343502388144</v>
      </c>
      <c r="H8" s="26">
        <f t="shared" si="1"/>
        <v>1.3289396609941642</v>
      </c>
      <c r="I8" s="25">
        <f t="shared" si="2"/>
        <v>4.2452239170646902E-2</v>
      </c>
      <c r="J8" s="32"/>
    </row>
    <row r="9" spans="2:10" ht="15.75" thickBot="1" x14ac:dyDescent="0.3">
      <c r="B9" s="18" t="s">
        <v>9</v>
      </c>
      <c r="C9" s="11">
        <f>(C7+C8) / 2</f>
        <v>5.75</v>
      </c>
      <c r="E9" s="36">
        <v>7</v>
      </c>
      <c r="F9" s="4">
        <f t="shared" si="3"/>
        <v>1.7275648230929683E-2</v>
      </c>
      <c r="G9" s="27">
        <f t="shared" si="0"/>
        <v>0.12092953761650778</v>
      </c>
      <c r="H9" s="26">
        <f t="shared" si="1"/>
        <v>0.54080290114214657</v>
      </c>
      <c r="I9" s="25">
        <f t="shared" si="2"/>
        <v>1.7275648230929683E-2</v>
      </c>
      <c r="J9" s="33"/>
    </row>
    <row r="10" spans="2:10" ht="15.75" thickBot="1" x14ac:dyDescent="0.3">
      <c r="B10" s="23" t="s">
        <v>18</v>
      </c>
      <c r="C10" s="24"/>
      <c r="E10" s="35">
        <v>8</v>
      </c>
      <c r="F10" s="4">
        <f t="shared" si="3"/>
        <v>8.6329229942964641E-3</v>
      </c>
      <c r="G10" s="27">
        <f t="shared" si="0"/>
        <v>6.9063383954371713E-2</v>
      </c>
      <c r="H10" s="26">
        <f t="shared" si="1"/>
        <v>0.27024802416928062</v>
      </c>
      <c r="I10" s="25">
        <f t="shared" si="2"/>
        <v>8.6329229942964641E-3</v>
      </c>
      <c r="J10" s="38" t="s">
        <v>15</v>
      </c>
    </row>
    <row r="11" spans="2:10" ht="15.75" thickBot="1" x14ac:dyDescent="0.3">
      <c r="E11" s="36">
        <v>9</v>
      </c>
      <c r="F11" s="4">
        <f t="shared" si="3"/>
        <v>3.1216252063856077E-3</v>
      </c>
      <c r="G11" s="28">
        <f t="shared" si="0"/>
        <v>2.8094626857470467E-2</v>
      </c>
      <c r="H11" s="26">
        <f t="shared" si="1"/>
        <v>9.7720441243375547E-2</v>
      </c>
      <c r="I11" s="25">
        <f t="shared" si="2"/>
        <v>3.1216252063856077E-3</v>
      </c>
      <c r="J11" s="32">
        <f>J2*60</f>
        <v>7.2186305103592669</v>
      </c>
    </row>
    <row r="12" spans="2:10" ht="15.75" thickBot="1" x14ac:dyDescent="0.3">
      <c r="B12" s="41" t="s">
        <v>0</v>
      </c>
      <c r="C12" s="45" t="s">
        <v>21</v>
      </c>
      <c r="E12" s="35">
        <v>10</v>
      </c>
      <c r="F12" s="4">
        <f t="shared" si="3"/>
        <v>1.1708475932908793E-3</v>
      </c>
      <c r="G12" s="27">
        <f t="shared" si="0"/>
        <v>1.1708475932908793E-2</v>
      </c>
      <c r="H12" s="26">
        <f t="shared" si="1"/>
        <v>3.6652620311714484E-2</v>
      </c>
      <c r="I12" s="25">
        <f t="shared" si="2"/>
        <v>1.1708475932908793E-3</v>
      </c>
      <c r="J12" s="32"/>
    </row>
    <row r="13" spans="2:10" ht="15.75" thickBot="1" x14ac:dyDescent="0.3">
      <c r="B13" s="42">
        <v>0</v>
      </c>
      <c r="C13" s="52">
        <v>359.55279999999999</v>
      </c>
      <c r="E13" s="7" t="s">
        <v>5</v>
      </c>
      <c r="F13" s="10">
        <f>SUM(F2:F12)</f>
        <v>1</v>
      </c>
      <c r="G13" s="29">
        <f>SUM(G2:G12)</f>
        <v>3.0536467318470031</v>
      </c>
      <c r="H13" s="29">
        <f>SUM(H2:H12)</f>
        <v>25.381379978915351</v>
      </c>
      <c r="I13" s="30">
        <f>SUM(I2:I12)</f>
        <v>0.81079408265979591</v>
      </c>
      <c r="J13" s="37" t="s">
        <v>16</v>
      </c>
    </row>
    <row r="14" spans="2:10" x14ac:dyDescent="0.25">
      <c r="B14" s="43">
        <v>1</v>
      </c>
      <c r="C14" s="53">
        <v>3825.1918000000001</v>
      </c>
    </row>
    <row r="15" spans="2:10" x14ac:dyDescent="0.25">
      <c r="B15" s="43">
        <v>2</v>
      </c>
      <c r="C15" s="53">
        <v>7687.5724</v>
      </c>
    </row>
    <row r="16" spans="2:10" x14ac:dyDescent="0.25">
      <c r="B16" s="43">
        <v>3</v>
      </c>
      <c r="C16" s="53">
        <v>7351.1468999999997</v>
      </c>
    </row>
    <row r="17" spans="2:3" x14ac:dyDescent="0.25">
      <c r="B17" s="43">
        <v>4</v>
      </c>
      <c r="C17" s="53">
        <v>4935.3828000000003</v>
      </c>
    </row>
    <row r="18" spans="2:3" x14ac:dyDescent="0.25">
      <c r="B18" s="44">
        <v>5</v>
      </c>
      <c r="C18" s="54">
        <v>2661.8321999999998</v>
      </c>
    </row>
    <row r="19" spans="2:3" x14ac:dyDescent="0.25">
      <c r="B19" s="43">
        <v>6</v>
      </c>
      <c r="C19" s="53">
        <v>1227.8017</v>
      </c>
    </row>
    <row r="20" spans="2:3" x14ac:dyDescent="0.25">
      <c r="B20" s="44">
        <v>7</v>
      </c>
      <c r="C20" s="54">
        <v>499.64550000000003</v>
      </c>
    </row>
    <row r="21" spans="2:3" x14ac:dyDescent="0.25">
      <c r="B21" s="43">
        <v>8</v>
      </c>
      <c r="C21" s="53">
        <v>249.68100000000001</v>
      </c>
    </row>
    <row r="22" spans="2:3" x14ac:dyDescent="0.25">
      <c r="B22" s="44">
        <v>9</v>
      </c>
      <c r="C22" s="54">
        <v>90.283500000000004</v>
      </c>
    </row>
    <row r="23" spans="2:3" ht="15.75" thickBot="1" x14ac:dyDescent="0.3">
      <c r="B23" s="43">
        <v>10</v>
      </c>
      <c r="C23" s="53">
        <v>33.863199999999999</v>
      </c>
    </row>
    <row r="24" spans="2:3" ht="15.75" thickBot="1" x14ac:dyDescent="0.3">
      <c r="B24" s="46" t="s">
        <v>5</v>
      </c>
      <c r="C24" s="55">
        <f>SUM(C13:C23)</f>
        <v>28921.953799999999</v>
      </c>
    </row>
    <row r="25" spans="2:3" ht="15.75" thickBot="1" x14ac:dyDescent="0.3"/>
    <row r="26" spans="2:3" ht="15.75" thickBot="1" x14ac:dyDescent="0.3">
      <c r="B26" s="56" t="s">
        <v>30</v>
      </c>
      <c r="C26" s="57">
        <v>13</v>
      </c>
    </row>
  </sheetData>
  <mergeCells count="4">
    <mergeCell ref="B4:B5"/>
    <mergeCell ref="J11:J12"/>
    <mergeCell ref="B10:C10"/>
    <mergeCell ref="J2:J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1A28-4251-4EF6-8FCC-99DFB149F4DC}">
  <dimension ref="B1:J22"/>
  <sheetViews>
    <sheetView workbookViewId="0">
      <selection activeCell="C22" sqref="C22"/>
    </sheetView>
  </sheetViews>
  <sheetFormatPr defaultRowHeight="15" x14ac:dyDescent="0.25"/>
  <cols>
    <col min="2" max="2" width="13.7109375" bestFit="1" customWidth="1"/>
    <col min="3" max="3" width="21.85546875" bestFit="1" customWidth="1"/>
    <col min="5" max="10" width="15.28515625" style="1" customWidth="1"/>
  </cols>
  <sheetData>
    <row r="1" spans="2:10" ht="15.75" thickBot="1" x14ac:dyDescent="0.3">
      <c r="B1" s="13" t="s">
        <v>20</v>
      </c>
      <c r="C1" s="7" t="s">
        <v>25</v>
      </c>
      <c r="D1" s="1"/>
      <c r="E1" s="7" t="s">
        <v>0</v>
      </c>
      <c r="F1" s="8" t="s">
        <v>12</v>
      </c>
      <c r="G1" s="7" t="s">
        <v>11</v>
      </c>
      <c r="H1" s="7" t="s">
        <v>10</v>
      </c>
      <c r="I1" s="7" t="s">
        <v>1</v>
      </c>
      <c r="J1" s="9" t="s">
        <v>13</v>
      </c>
    </row>
    <row r="2" spans="2:10" x14ac:dyDescent="0.25">
      <c r="B2" s="19" t="s">
        <v>3</v>
      </c>
      <c r="C2" s="5">
        <v>1</v>
      </c>
      <c r="D2" s="1"/>
      <c r="E2" s="34">
        <v>0</v>
      </c>
      <c r="F2" s="4">
        <f>C13/$C$20</f>
        <v>0.17103097301815065</v>
      </c>
      <c r="G2" s="26">
        <f>F2*E2</f>
        <v>0</v>
      </c>
      <c r="H2" s="26">
        <f>F2 * MIN(E2,$C$2) * $C$4</f>
        <v>0</v>
      </c>
      <c r="I2" s="25">
        <f>F2 * (MIN(E2,$C$2) / $C$2)</f>
        <v>0</v>
      </c>
      <c r="J2" s="31">
        <f>G9/H9</f>
        <v>4.693425310761918E-2</v>
      </c>
    </row>
    <row r="3" spans="2:10" x14ac:dyDescent="0.25">
      <c r="B3" s="19" t="s">
        <v>4</v>
      </c>
      <c r="C3" s="6">
        <v>6</v>
      </c>
      <c r="D3" s="1"/>
      <c r="E3" s="35">
        <v>1</v>
      </c>
      <c r="F3" s="4">
        <f>C14/$C$20</f>
        <v>0.27683531186610216</v>
      </c>
      <c r="G3" s="27">
        <f t="shared" ref="G3:G8" si="0">F3*E3</f>
        <v>0.27683531186610216</v>
      </c>
      <c r="H3" s="26">
        <f t="shared" ref="H3:H8" si="1">F3 * MIN(E3,$C$2) * $C$4</f>
        <v>13.288094969572903</v>
      </c>
      <c r="I3" s="25">
        <f t="shared" ref="I3:I8" si="2">F3 * (MIN(E3,$C$2) / $C$2)</f>
        <v>0.27683531186610216</v>
      </c>
      <c r="J3" s="32"/>
    </row>
    <row r="4" spans="2:10" x14ac:dyDescent="0.25">
      <c r="B4" s="20" t="s">
        <v>6</v>
      </c>
      <c r="C4" s="14">
        <f>60/C9</f>
        <v>48</v>
      </c>
      <c r="D4" s="1"/>
      <c r="E4" s="35">
        <v>2</v>
      </c>
      <c r="F4" s="4">
        <f>C15/$C$20</f>
        <v>0.25416788405214863</v>
      </c>
      <c r="G4" s="27">
        <f t="shared" si="0"/>
        <v>0.50833576810429726</v>
      </c>
      <c r="H4" s="26">
        <f t="shared" si="1"/>
        <v>12.200058434503134</v>
      </c>
      <c r="I4" s="25">
        <f t="shared" si="2"/>
        <v>0.25416788405214863</v>
      </c>
      <c r="J4" s="32"/>
    </row>
    <row r="5" spans="2:10" ht="15.75" thickBot="1" x14ac:dyDescent="0.3">
      <c r="B5" s="21"/>
      <c r="C5" s="22" t="s">
        <v>14</v>
      </c>
      <c r="D5" s="1"/>
      <c r="E5" s="35">
        <v>3</v>
      </c>
      <c r="F5" s="4">
        <f>C16/$C$20</f>
        <v>0.16592855147981045</v>
      </c>
      <c r="G5" s="27">
        <f t="shared" si="0"/>
        <v>0.49778565443943135</v>
      </c>
      <c r="H5" s="26">
        <f t="shared" si="1"/>
        <v>7.9645704710309015</v>
      </c>
      <c r="I5" s="25">
        <f t="shared" si="2"/>
        <v>0.16592855147981045</v>
      </c>
      <c r="J5" s="33"/>
    </row>
    <row r="6" spans="2:10" ht="15.75" thickBot="1" x14ac:dyDescent="0.3">
      <c r="D6" s="1"/>
      <c r="E6" s="35">
        <v>4</v>
      </c>
      <c r="F6" s="4">
        <f>C17/$C$20</f>
        <v>8.4985510211277634E-2</v>
      </c>
      <c r="G6" s="27">
        <f t="shared" si="0"/>
        <v>0.33994204084511054</v>
      </c>
      <c r="H6" s="26">
        <f t="shared" si="1"/>
        <v>4.0793044901413262</v>
      </c>
      <c r="I6" s="25">
        <f t="shared" si="2"/>
        <v>8.4985510211277634E-2</v>
      </c>
      <c r="J6" s="38" t="s">
        <v>15</v>
      </c>
    </row>
    <row r="7" spans="2:10" x14ac:dyDescent="0.25">
      <c r="B7" s="16" t="s">
        <v>7</v>
      </c>
      <c r="C7" s="15">
        <v>0.5</v>
      </c>
      <c r="D7" s="1"/>
      <c r="E7" s="36">
        <v>5</v>
      </c>
      <c r="F7" s="4">
        <f>C18/$C$20</f>
        <v>3.7671369214344018E-2</v>
      </c>
      <c r="G7" s="28">
        <f t="shared" si="0"/>
        <v>0.1883568460717201</v>
      </c>
      <c r="H7" s="26">
        <f t="shared" si="1"/>
        <v>1.8082257222885127</v>
      </c>
      <c r="I7" s="25">
        <f t="shared" si="2"/>
        <v>3.7671369214344018E-2</v>
      </c>
      <c r="J7" s="32">
        <f>J2*60</f>
        <v>2.8160551864571506</v>
      </c>
    </row>
    <row r="8" spans="2:10" ht="15.75" thickBot="1" x14ac:dyDescent="0.3">
      <c r="B8" s="17" t="s">
        <v>8</v>
      </c>
      <c r="C8" s="12">
        <v>2</v>
      </c>
      <c r="D8" s="1"/>
      <c r="E8" s="35">
        <v>6</v>
      </c>
      <c r="F8" s="4">
        <f>C19/$C$20</f>
        <v>9.3804001581663538E-3</v>
      </c>
      <c r="G8" s="27">
        <f t="shared" si="0"/>
        <v>5.6282400948998126E-2</v>
      </c>
      <c r="H8" s="26">
        <f t="shared" si="1"/>
        <v>0.45025920759198501</v>
      </c>
      <c r="I8" s="25">
        <f t="shared" si="2"/>
        <v>9.3804001581663538E-3</v>
      </c>
      <c r="J8" s="32"/>
    </row>
    <row r="9" spans="2:10" ht="15.75" thickBot="1" x14ac:dyDescent="0.3">
      <c r="B9" s="18" t="s">
        <v>9</v>
      </c>
      <c r="C9" s="11">
        <f>(C7+C8) / 2</f>
        <v>1.25</v>
      </c>
      <c r="E9" s="7" t="s">
        <v>5</v>
      </c>
      <c r="F9" s="10">
        <f>SUM(F2:F8)</f>
        <v>0.99999999999999989</v>
      </c>
      <c r="G9" s="29">
        <f>SUM(G2:G8)</f>
        <v>1.8675380222756595</v>
      </c>
      <c r="H9" s="29">
        <f>SUM(H2:H8)</f>
        <v>39.790513295128761</v>
      </c>
      <c r="I9" s="30">
        <f>SUM(I2:I8)</f>
        <v>0.82896902698184927</v>
      </c>
      <c r="J9" s="37" t="s">
        <v>16</v>
      </c>
    </row>
    <row r="10" spans="2:10" ht="15.75" thickBot="1" x14ac:dyDescent="0.3">
      <c r="B10" s="23" t="s">
        <v>18</v>
      </c>
      <c r="C10" s="24"/>
    </row>
    <row r="11" spans="2:10" ht="15.75" thickBot="1" x14ac:dyDescent="0.3"/>
    <row r="12" spans="2:10" ht="15.75" thickBot="1" x14ac:dyDescent="0.3">
      <c r="B12" s="41" t="s">
        <v>0</v>
      </c>
      <c r="C12" s="45" t="s">
        <v>21</v>
      </c>
    </row>
    <row r="13" spans="2:10" x14ac:dyDescent="0.25">
      <c r="B13" s="42">
        <v>0</v>
      </c>
      <c r="C13" s="52">
        <v>4946.5499</v>
      </c>
    </row>
    <row r="14" spans="2:10" x14ac:dyDescent="0.25">
      <c r="B14" s="43">
        <v>1</v>
      </c>
      <c r="C14" s="53">
        <v>8006.6180999999997</v>
      </c>
    </row>
    <row r="15" spans="2:10" x14ac:dyDescent="0.25">
      <c r="B15" s="43">
        <v>2</v>
      </c>
      <c r="C15" s="53">
        <v>7351.0317999999997</v>
      </c>
    </row>
    <row r="16" spans="2:10" x14ac:dyDescent="0.25">
      <c r="B16" s="43">
        <v>3</v>
      </c>
      <c r="C16" s="53">
        <v>4798.9778999999999</v>
      </c>
    </row>
    <row r="17" spans="2:3" x14ac:dyDescent="0.25">
      <c r="B17" s="43">
        <v>4</v>
      </c>
      <c r="C17" s="53">
        <v>2457.9470000000001</v>
      </c>
    </row>
    <row r="18" spans="2:3" x14ac:dyDescent="0.25">
      <c r="B18" s="44">
        <v>5</v>
      </c>
      <c r="C18" s="54">
        <v>1089.5296000000001</v>
      </c>
    </row>
    <row r="19" spans="2:3" ht="15.75" thickBot="1" x14ac:dyDescent="0.3">
      <c r="B19" s="43">
        <v>6</v>
      </c>
      <c r="C19" s="53">
        <v>271.29950000000002</v>
      </c>
    </row>
    <row r="20" spans="2:3" ht="15.75" thickBot="1" x14ac:dyDescent="0.3">
      <c r="B20" s="46" t="s">
        <v>5</v>
      </c>
      <c r="C20" s="55">
        <f>SUM(C13:C19)</f>
        <v>28921.953800000003</v>
      </c>
    </row>
    <row r="21" spans="2:3" ht="15.75" thickBot="1" x14ac:dyDescent="0.3"/>
    <row r="22" spans="2:3" ht="15.75" thickBot="1" x14ac:dyDescent="0.3">
      <c r="B22" s="56" t="s">
        <v>30</v>
      </c>
      <c r="C22" s="57">
        <v>124</v>
      </c>
    </row>
  </sheetData>
  <mergeCells count="4">
    <mergeCell ref="B4:B5"/>
    <mergeCell ref="B10:C10"/>
    <mergeCell ref="J2:J5"/>
    <mergeCell ref="J7:J8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C1DAC-6B50-451F-9115-66CFD6CC3FA2}">
  <dimension ref="B1:J36"/>
  <sheetViews>
    <sheetView zoomScaleNormal="100" workbookViewId="0">
      <selection activeCell="F33" sqref="F33"/>
    </sheetView>
  </sheetViews>
  <sheetFormatPr defaultRowHeight="15" x14ac:dyDescent="0.25"/>
  <cols>
    <col min="2" max="2" width="13.7109375" bestFit="1" customWidth="1"/>
    <col min="3" max="3" width="21.85546875" bestFit="1" customWidth="1"/>
    <col min="5" max="10" width="15.28515625" style="1" customWidth="1"/>
  </cols>
  <sheetData>
    <row r="1" spans="2:10" ht="15.75" thickBot="1" x14ac:dyDescent="0.3">
      <c r="B1" s="13" t="s">
        <v>22</v>
      </c>
      <c r="C1" s="7" t="s">
        <v>26</v>
      </c>
      <c r="D1" s="1"/>
      <c r="E1" s="7" t="s">
        <v>0</v>
      </c>
      <c r="F1" s="51" t="s">
        <v>12</v>
      </c>
      <c r="G1" s="7" t="s">
        <v>11</v>
      </c>
      <c r="H1" s="7" t="s">
        <v>10</v>
      </c>
      <c r="I1" s="7" t="s">
        <v>1</v>
      </c>
      <c r="J1" s="9" t="s">
        <v>13</v>
      </c>
    </row>
    <row r="2" spans="2:10" x14ac:dyDescent="0.25">
      <c r="B2" s="19" t="s">
        <v>3</v>
      </c>
      <c r="C2" s="5">
        <v>6</v>
      </c>
      <c r="D2" s="1"/>
      <c r="E2" s="34">
        <v>0</v>
      </c>
      <c r="F2" s="3">
        <f>C13/$C$34</f>
        <v>2.5418061662335286E-4</v>
      </c>
      <c r="G2" s="49">
        <f>F2*E2</f>
        <v>0</v>
      </c>
      <c r="H2" s="49">
        <f>F2 * MIN(E2,$C$2) * $C$4</f>
        <v>0</v>
      </c>
      <c r="I2" s="50">
        <f>F2 * (MIN(E2,$C$2) / $C$2)</f>
        <v>0</v>
      </c>
      <c r="J2" s="31">
        <f>G23/H23</f>
        <v>0.49424958217626147</v>
      </c>
    </row>
    <row r="3" spans="2:10" x14ac:dyDescent="0.25">
      <c r="B3" s="19" t="s">
        <v>4</v>
      </c>
      <c r="C3" s="6">
        <v>20</v>
      </c>
      <c r="D3" s="1"/>
      <c r="E3" s="35">
        <v>1</v>
      </c>
      <c r="F3" s="2">
        <f>C14/$C$34</f>
        <v>3.1715354110795616E-4</v>
      </c>
      <c r="G3" s="47">
        <f t="shared" ref="G3:G22" si="0">F3*E3</f>
        <v>3.1715354110795616E-4</v>
      </c>
      <c r="H3" s="47">
        <f t="shared" ref="H3:H22" si="1">F3 * MIN(E3,$C$2) * $C$4</f>
        <v>1.6547141275197713E-3</v>
      </c>
      <c r="I3" s="48">
        <f t="shared" ref="I3:I22" si="2">F3 * (MIN(E3,$C$2) / $C$2)</f>
        <v>5.2858923517992691E-5</v>
      </c>
      <c r="J3" s="32"/>
    </row>
    <row r="4" spans="2:10" x14ac:dyDescent="0.25">
      <c r="B4" s="20" t="s">
        <v>6</v>
      </c>
      <c r="C4" s="14">
        <f>60/C9</f>
        <v>5.2173913043478262</v>
      </c>
      <c r="D4" s="1"/>
      <c r="E4" s="35">
        <v>2</v>
      </c>
      <c r="F4" s="2">
        <f>C15/$C$34</f>
        <v>5.1241351829013377E-4</v>
      </c>
      <c r="G4" s="47">
        <f t="shared" si="0"/>
        <v>1.0248270365802675E-3</v>
      </c>
      <c r="H4" s="47">
        <f t="shared" si="1"/>
        <v>5.3469236691144392E-3</v>
      </c>
      <c r="I4" s="48">
        <f t="shared" si="2"/>
        <v>1.7080450609671124E-4</v>
      </c>
      <c r="J4" s="32"/>
    </row>
    <row r="5" spans="2:10" ht="15.75" thickBot="1" x14ac:dyDescent="0.3">
      <c r="B5" s="21"/>
      <c r="C5" s="22" t="s">
        <v>14</v>
      </c>
      <c r="D5" s="1"/>
      <c r="E5" s="35">
        <v>3</v>
      </c>
      <c r="F5" s="2">
        <f>C16/$C$34</f>
        <v>2.7878614672834545E-3</v>
      </c>
      <c r="G5" s="47">
        <f t="shared" si="0"/>
        <v>8.363584401850364E-3</v>
      </c>
      <c r="H5" s="47">
        <f t="shared" si="1"/>
        <v>4.3636092531393202E-2</v>
      </c>
      <c r="I5" s="48">
        <f t="shared" si="2"/>
        <v>1.3939307336417273E-3</v>
      </c>
      <c r="J5" s="32"/>
    </row>
    <row r="6" spans="2:10" ht="15.75" thickBot="1" x14ac:dyDescent="0.3">
      <c r="D6" s="1"/>
      <c r="E6" s="35">
        <v>4</v>
      </c>
      <c r="F6" s="2">
        <f>C17/$C$34</f>
        <v>6.0131760947158145E-3</v>
      </c>
      <c r="G6" s="47">
        <f t="shared" si="0"/>
        <v>2.4052704378863258E-2</v>
      </c>
      <c r="H6" s="47">
        <f t="shared" si="1"/>
        <v>0.12549237067233004</v>
      </c>
      <c r="I6" s="48">
        <f t="shared" si="2"/>
        <v>4.008784063143876E-3</v>
      </c>
      <c r="J6" s="32"/>
    </row>
    <row r="7" spans="2:10" x14ac:dyDescent="0.25">
      <c r="B7" s="16" t="s">
        <v>7</v>
      </c>
      <c r="C7" s="15">
        <v>5</v>
      </c>
      <c r="D7" s="1"/>
      <c r="E7" s="35">
        <v>5</v>
      </c>
      <c r="F7" s="2">
        <f>C18/$C$34</f>
        <v>1.1133390380655337E-2</v>
      </c>
      <c r="G7" s="47">
        <f t="shared" si="0"/>
        <v>5.5666951903276682E-2</v>
      </c>
      <c r="H7" s="47">
        <f t="shared" si="1"/>
        <v>0.29043627079970441</v>
      </c>
      <c r="I7" s="48">
        <f t="shared" si="2"/>
        <v>9.277825317212782E-3</v>
      </c>
      <c r="J7" s="32"/>
    </row>
    <row r="8" spans="2:10" x14ac:dyDescent="0.25">
      <c r="B8" s="17" t="s">
        <v>8</v>
      </c>
      <c r="C8" s="12">
        <v>18</v>
      </c>
      <c r="D8" s="1"/>
      <c r="E8" s="35">
        <v>6</v>
      </c>
      <c r="F8" s="3">
        <f t="shared" ref="F8:F22" si="3">C19/$C$34</f>
        <v>1.7366212772016894E-2</v>
      </c>
      <c r="G8" s="49">
        <f t="shared" si="0"/>
        <v>0.10419727663210136</v>
      </c>
      <c r="H8" s="49">
        <f t="shared" si="1"/>
        <v>0.54363796503705064</v>
      </c>
      <c r="I8" s="50">
        <f t="shared" si="2"/>
        <v>1.7366212772016894E-2</v>
      </c>
      <c r="J8" s="32"/>
    </row>
    <row r="9" spans="2:10" ht="15.75" thickBot="1" x14ac:dyDescent="0.3">
      <c r="B9" s="18" t="s">
        <v>9</v>
      </c>
      <c r="C9" s="11">
        <f>(C7+C8) / 2</f>
        <v>11.5</v>
      </c>
      <c r="E9" s="35">
        <v>7</v>
      </c>
      <c r="F9" s="2">
        <f t="shared" si="3"/>
        <v>2.0479121438048361E-2</v>
      </c>
      <c r="G9" s="47">
        <f t="shared" si="0"/>
        <v>0.14335385006633852</v>
      </c>
      <c r="H9" s="47">
        <f t="shared" si="1"/>
        <v>0.64108554066933998</v>
      </c>
      <c r="I9" s="48">
        <f t="shared" si="2"/>
        <v>2.0479121438048361E-2</v>
      </c>
      <c r="J9" s="32"/>
    </row>
    <row r="10" spans="2:10" ht="15.75" thickBot="1" x14ac:dyDescent="0.3">
      <c r="B10" s="23" t="s">
        <v>18</v>
      </c>
      <c r="C10" s="24"/>
      <c r="E10" s="35">
        <v>8</v>
      </c>
      <c r="F10" s="2">
        <f t="shared" si="3"/>
        <v>2.139481338494368E-2</v>
      </c>
      <c r="G10" s="47">
        <f t="shared" si="0"/>
        <v>0.17115850707954944</v>
      </c>
      <c r="H10" s="47">
        <f t="shared" si="1"/>
        <v>0.66975067987649783</v>
      </c>
      <c r="I10" s="48">
        <f t="shared" si="2"/>
        <v>2.139481338494368E-2</v>
      </c>
      <c r="J10" s="32"/>
    </row>
    <row r="11" spans="2:10" ht="15.75" thickBot="1" x14ac:dyDescent="0.3">
      <c r="E11" s="35">
        <v>9</v>
      </c>
      <c r="F11" s="2">
        <f t="shared" si="3"/>
        <v>2.5873604886773625E-2</v>
      </c>
      <c r="G11" s="47">
        <f t="shared" si="0"/>
        <v>0.23286244398096262</v>
      </c>
      <c r="H11" s="47">
        <f t="shared" si="1"/>
        <v>0.80995632689030483</v>
      </c>
      <c r="I11" s="48">
        <f t="shared" si="2"/>
        <v>2.5873604886773625E-2</v>
      </c>
      <c r="J11" s="32"/>
    </row>
    <row r="12" spans="2:10" ht="15.75" thickBot="1" x14ac:dyDescent="0.3">
      <c r="B12" s="41" t="s">
        <v>0</v>
      </c>
      <c r="C12" s="45" t="s">
        <v>21</v>
      </c>
      <c r="E12" s="35">
        <v>10</v>
      </c>
      <c r="F12" s="2">
        <f t="shared" si="3"/>
        <v>2.8967496856782179E-2</v>
      </c>
      <c r="G12" s="47">
        <f t="shared" si="0"/>
        <v>0.28967496856782177</v>
      </c>
      <c r="H12" s="47">
        <f t="shared" si="1"/>
        <v>0.90680859725578988</v>
      </c>
      <c r="I12" s="48">
        <f t="shared" si="2"/>
        <v>2.8967496856782179E-2</v>
      </c>
      <c r="J12" s="32"/>
    </row>
    <row r="13" spans="2:10" x14ac:dyDescent="0.25">
      <c r="B13" s="42">
        <v>0</v>
      </c>
      <c r="C13" s="52">
        <v>7.3513999999999999</v>
      </c>
      <c r="E13" s="35">
        <v>11</v>
      </c>
      <c r="F13" s="2">
        <f t="shared" si="3"/>
        <v>3.1810651960938074E-2</v>
      </c>
      <c r="G13" s="47">
        <f t="shared" si="0"/>
        <v>0.34991717157031882</v>
      </c>
      <c r="H13" s="47">
        <f t="shared" si="1"/>
        <v>0.99581171355980058</v>
      </c>
      <c r="I13" s="48">
        <f t="shared" si="2"/>
        <v>3.1810651960938074E-2</v>
      </c>
      <c r="J13" s="32"/>
    </row>
    <row r="14" spans="2:10" x14ac:dyDescent="0.25">
      <c r="B14" s="43">
        <v>1</v>
      </c>
      <c r="C14" s="53">
        <v>9.1727000000000007</v>
      </c>
      <c r="E14" s="35">
        <v>12</v>
      </c>
      <c r="F14" s="3">
        <f t="shared" si="3"/>
        <v>3.5253973991577106E-2</v>
      </c>
      <c r="G14" s="49">
        <f t="shared" si="0"/>
        <v>0.42304768789892527</v>
      </c>
      <c r="H14" s="49">
        <f t="shared" si="1"/>
        <v>1.103602664084153</v>
      </c>
      <c r="I14" s="50">
        <f t="shared" si="2"/>
        <v>3.5253973991577106E-2</v>
      </c>
      <c r="J14" s="32"/>
    </row>
    <row r="15" spans="2:10" x14ac:dyDescent="0.25">
      <c r="B15" s="43">
        <v>2</v>
      </c>
      <c r="C15" s="53">
        <v>14.82</v>
      </c>
      <c r="E15" s="35">
        <v>13</v>
      </c>
      <c r="F15" s="2">
        <f t="shared" si="3"/>
        <v>4.6979741368508382E-2</v>
      </c>
      <c r="G15" s="47">
        <f t="shared" si="0"/>
        <v>0.61073663779060894</v>
      </c>
      <c r="H15" s="47">
        <f t="shared" si="1"/>
        <v>1.4706701645793929</v>
      </c>
      <c r="I15" s="48">
        <f t="shared" si="2"/>
        <v>4.6979741368508382E-2</v>
      </c>
      <c r="J15" s="32"/>
    </row>
    <row r="16" spans="2:10" x14ac:dyDescent="0.25">
      <c r="B16" s="43">
        <v>3</v>
      </c>
      <c r="C16" s="53">
        <v>80.630399999999995</v>
      </c>
      <c r="E16" s="35">
        <v>14</v>
      </c>
      <c r="F16" s="2">
        <f t="shared" si="3"/>
        <v>5.9447467615050736E-2</v>
      </c>
      <c r="G16" s="47">
        <f t="shared" si="0"/>
        <v>0.83226454661071037</v>
      </c>
      <c r="H16" s="47">
        <f t="shared" si="1"/>
        <v>1.8609642036015883</v>
      </c>
      <c r="I16" s="48">
        <f t="shared" si="2"/>
        <v>5.9447467615050736E-2</v>
      </c>
      <c r="J16" s="32"/>
    </row>
    <row r="17" spans="2:10" x14ac:dyDescent="0.25">
      <c r="B17" s="43">
        <v>4</v>
      </c>
      <c r="C17" s="53">
        <v>173.9128</v>
      </c>
      <c r="E17" s="35">
        <v>15</v>
      </c>
      <c r="F17" s="2">
        <f t="shared" si="3"/>
        <v>8.2469684897081091E-2</v>
      </c>
      <c r="G17" s="47">
        <f t="shared" si="0"/>
        <v>1.2370452734562163</v>
      </c>
      <c r="H17" s="47">
        <f t="shared" si="1"/>
        <v>2.5816597011260169</v>
      </c>
      <c r="I17" s="48">
        <f t="shared" si="2"/>
        <v>8.2469684897081091E-2</v>
      </c>
      <c r="J17" s="32"/>
    </row>
    <row r="18" spans="2:10" x14ac:dyDescent="0.25">
      <c r="B18" s="43">
        <v>5</v>
      </c>
      <c r="C18" s="54">
        <v>321.99939999999998</v>
      </c>
      <c r="E18" s="35">
        <v>16</v>
      </c>
      <c r="F18" s="2">
        <f t="shared" si="3"/>
        <v>0.1106366618332449</v>
      </c>
      <c r="G18" s="47">
        <f t="shared" si="0"/>
        <v>1.7701865893319184</v>
      </c>
      <c r="H18" s="47">
        <f t="shared" si="1"/>
        <v>3.4634085443450582</v>
      </c>
      <c r="I18" s="48">
        <f t="shared" si="2"/>
        <v>0.1106366618332449</v>
      </c>
      <c r="J18" s="32"/>
    </row>
    <row r="19" spans="2:10" ht="15.75" thickBot="1" x14ac:dyDescent="0.3">
      <c r="B19" s="43">
        <v>6</v>
      </c>
      <c r="C19" s="54">
        <v>502.26479999999998</v>
      </c>
      <c r="E19" s="35">
        <v>17</v>
      </c>
      <c r="F19" s="2">
        <f t="shared" si="3"/>
        <v>0.13686226576340263</v>
      </c>
      <c r="G19" s="47">
        <f t="shared" si="0"/>
        <v>2.3266585179778447</v>
      </c>
      <c r="H19" s="47">
        <f t="shared" si="1"/>
        <v>4.2843839717239085</v>
      </c>
      <c r="I19" s="48">
        <f t="shared" si="2"/>
        <v>0.13686226576340263</v>
      </c>
      <c r="J19" s="33"/>
    </row>
    <row r="20" spans="2:10" x14ac:dyDescent="0.25">
      <c r="B20" s="43">
        <v>7</v>
      </c>
      <c r="C20" s="54">
        <v>592.2962</v>
      </c>
      <c r="E20" s="35">
        <v>18</v>
      </c>
      <c r="F20" s="3">
        <f t="shared" si="3"/>
        <v>0.15089754172069481</v>
      </c>
      <c r="G20" s="49">
        <f t="shared" si="0"/>
        <v>2.7161557509725065</v>
      </c>
      <c r="H20" s="49">
        <f t="shared" si="1"/>
        <v>4.7237491321260983</v>
      </c>
      <c r="I20" s="50">
        <f t="shared" si="2"/>
        <v>0.15089754172069481</v>
      </c>
      <c r="J20" s="38" t="s">
        <v>15</v>
      </c>
    </row>
    <row r="21" spans="2:10" x14ac:dyDescent="0.25">
      <c r="B21" s="43">
        <v>8</v>
      </c>
      <c r="C21" s="54">
        <v>618.77980000000002</v>
      </c>
      <c r="E21" s="35">
        <v>19</v>
      </c>
      <c r="F21" s="2">
        <f t="shared" si="3"/>
        <v>0.12997168697483838</v>
      </c>
      <c r="G21" s="47">
        <f t="shared" si="0"/>
        <v>2.4694620525219291</v>
      </c>
      <c r="H21" s="47">
        <f t="shared" si="1"/>
        <v>4.068678896603636</v>
      </c>
      <c r="I21" s="48">
        <f t="shared" si="2"/>
        <v>0.12997168697483838</v>
      </c>
      <c r="J21" s="32">
        <f>J2*60</f>
        <v>29.654974930575687</v>
      </c>
    </row>
    <row r="22" spans="2:10" ht="15.75" thickBot="1" x14ac:dyDescent="0.3">
      <c r="B22" s="43">
        <v>9</v>
      </c>
      <c r="C22" s="54">
        <v>748.3152</v>
      </c>
      <c r="E22" s="36">
        <v>20</v>
      </c>
      <c r="F22" s="2">
        <f t="shared" si="3"/>
        <v>8.0570898917423056E-2</v>
      </c>
      <c r="G22" s="47">
        <f t="shared" si="0"/>
        <v>1.6114179783484612</v>
      </c>
      <c r="H22" s="47">
        <f t="shared" si="1"/>
        <v>2.5222194443715042</v>
      </c>
      <c r="I22" s="48">
        <f t="shared" si="2"/>
        <v>8.0570898917423056E-2</v>
      </c>
      <c r="J22" s="32"/>
    </row>
    <row r="23" spans="2:10" ht="15.75" thickBot="1" x14ac:dyDescent="0.3">
      <c r="B23" s="43">
        <v>10</v>
      </c>
      <c r="C23" s="54">
        <v>837.79660000000001</v>
      </c>
      <c r="E23" s="7" t="s">
        <v>5</v>
      </c>
      <c r="F23" s="10">
        <f>SUM(F2:F22)</f>
        <v>1</v>
      </c>
      <c r="G23" s="29">
        <f>SUM(G2:G22)</f>
        <v>15.37756447406789</v>
      </c>
      <c r="H23" s="29">
        <f>SUM(H2:H22)</f>
        <v>31.112953917650202</v>
      </c>
      <c r="I23" s="30">
        <f>SUM(I2:I22)</f>
        <v>0.99388602792493697</v>
      </c>
      <c r="J23" s="37" t="s">
        <v>16</v>
      </c>
    </row>
    <row r="24" spans="2:10" x14ac:dyDescent="0.25">
      <c r="B24" s="43">
        <v>11</v>
      </c>
      <c r="C24" s="54">
        <v>920.02620000000002</v>
      </c>
    </row>
    <row r="25" spans="2:10" x14ac:dyDescent="0.25">
      <c r="B25" s="43">
        <v>12</v>
      </c>
      <c r="C25" s="54">
        <v>1019.6138</v>
      </c>
    </row>
    <row r="26" spans="2:10" x14ac:dyDescent="0.25">
      <c r="B26" s="43">
        <v>13</v>
      </c>
      <c r="C26" s="54">
        <v>1358.7458999999999</v>
      </c>
    </row>
    <row r="27" spans="2:10" x14ac:dyDescent="0.25">
      <c r="B27" s="43">
        <v>14</v>
      </c>
      <c r="C27" s="54">
        <v>1719.3369</v>
      </c>
    </row>
    <row r="28" spans="2:10" x14ac:dyDescent="0.25">
      <c r="B28" s="43">
        <v>15</v>
      </c>
      <c r="C28" s="54">
        <v>2385.1844000000001</v>
      </c>
    </row>
    <row r="29" spans="2:10" x14ac:dyDescent="0.25">
      <c r="B29" s="43">
        <v>16</v>
      </c>
      <c r="C29" s="54">
        <v>3199.8283999999999</v>
      </c>
    </row>
    <row r="30" spans="2:10" x14ac:dyDescent="0.25">
      <c r="B30" s="43">
        <v>17</v>
      </c>
      <c r="C30" s="54">
        <v>3958.3240999999998</v>
      </c>
    </row>
    <row r="31" spans="2:10" x14ac:dyDescent="0.25">
      <c r="B31" s="43">
        <v>18</v>
      </c>
      <c r="C31" s="54">
        <v>4364.2516999999998</v>
      </c>
    </row>
    <row r="32" spans="2:10" x14ac:dyDescent="0.25">
      <c r="B32" s="43">
        <v>19</v>
      </c>
      <c r="C32" s="54">
        <v>3759.0351000000001</v>
      </c>
    </row>
    <row r="33" spans="2:3" ht="15.75" thickBot="1" x14ac:dyDescent="0.3">
      <c r="B33" s="43">
        <v>20</v>
      </c>
      <c r="C33" s="54">
        <v>2330.2678000000001</v>
      </c>
    </row>
    <row r="34" spans="2:3" ht="15.75" thickBot="1" x14ac:dyDescent="0.3">
      <c r="B34" s="46" t="s">
        <v>5</v>
      </c>
      <c r="C34" s="55">
        <f>SUM(C13:C33)</f>
        <v>28921.953600000001</v>
      </c>
    </row>
    <row r="35" spans="2:3" ht="15.75" thickBot="1" x14ac:dyDescent="0.3"/>
    <row r="36" spans="2:3" ht="15.75" thickBot="1" x14ac:dyDescent="0.3">
      <c r="B36" s="56" t="s">
        <v>30</v>
      </c>
      <c r="C36" s="57">
        <v>741</v>
      </c>
    </row>
  </sheetData>
  <mergeCells count="4">
    <mergeCell ref="J2:J19"/>
    <mergeCell ref="B4:B5"/>
    <mergeCell ref="B10:C10"/>
    <mergeCell ref="J21:J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</vt:lpstr>
      <vt:lpstr>Aplicação (Caso 1)</vt:lpstr>
      <vt:lpstr>Cache (Caso 1)</vt:lpstr>
      <vt:lpstr>API (Caso 1)</vt:lpstr>
      <vt:lpstr>Aplicação (Caso 2)</vt:lpstr>
      <vt:lpstr>Cache (Caso 2)</vt:lpstr>
      <vt:lpstr>API (Caso 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RECH</dc:creator>
  <cp:lastModifiedBy>ANDREI RECH</cp:lastModifiedBy>
  <dcterms:created xsi:type="dcterms:W3CDTF">2026-05-03T15:39:18Z</dcterms:created>
  <dcterms:modified xsi:type="dcterms:W3CDTF">2026-05-03T17:05:55Z</dcterms:modified>
</cp:coreProperties>
</file>